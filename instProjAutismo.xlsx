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ownloads\Dissertação\codeAloc-Simulação - Original\instanciasProjAutismo\"/>
    </mc:Choice>
  </mc:AlternateContent>
  <xr:revisionPtr revIDLastSave="0" documentId="13_ncr:1_{F57FC9AD-FEA1-4500-AA2B-FF5CFF40200C}" xr6:coauthVersionLast="47" xr6:coauthVersionMax="47" xr10:uidLastSave="{00000000-0000-0000-0000-000000000000}"/>
  <bookViews>
    <workbookView xWindow="-120" yWindow="-120" windowWidth="20730" windowHeight="11040" tabRatio="500" firstSheet="1" activeTab="6" xr2:uid="{00000000-000D-0000-FFFF-FFFF00000000}"/>
  </bookViews>
  <sheets>
    <sheet name="Unidade01Manha" sheetId="1" r:id="rId1"/>
    <sheet name="Unidade01Tarde" sheetId="2" r:id="rId2"/>
    <sheet name="sheets1" sheetId="3" state="hidden" r:id="rId3"/>
    <sheet name="sheets2" sheetId="4" state="hidden" r:id="rId4"/>
    <sheet name="instancia-real-TO_DO" sheetId="5" state="hidden" r:id="rId5"/>
    <sheet name="instancia-real-TO_DO_2" sheetId="6" state="hidden" r:id="rId6"/>
    <sheet name="Unidade02Manha" sheetId="7" r:id="rId7"/>
    <sheet name="Unidade02Tarde" sheetId="8" r:id="rId8"/>
    <sheet name="solution" sheetId="9" r:id="rId9"/>
  </sheets>
  <definedNames>
    <definedName name="_xlnm._FilterDatabase" localSheetId="0">Unidade01Manha!$A$12:$K$61</definedName>
    <definedName name="_xlnm._FilterDatabase" localSheetId="1">Unidade01Tarde!$B$12:$K$73</definedName>
    <definedName name="_xlnm._FilterDatabase" localSheetId="6">Unidade02Manha!$B$12:$H$31</definedName>
    <definedName name="_xlnm._FilterDatabase" localSheetId="7">Unidade02Tarde!$B$12:$M$63</definedName>
    <definedName name="Capacidade" localSheetId="4">'instancia-real-TO_DO'!$B$16:$B$20,'instancia-real-TO_DO'!$D$16:$D$20</definedName>
    <definedName name="Capacidade" localSheetId="5">'instancia-real-TO_DO_2'!$B$16:$B$20,'instancia-real-TO_DO_2'!$D$16:$D$20</definedName>
    <definedName name="Capacidade" localSheetId="3">sheets2!$B$16:$B$20,sheets2!$D$16:$D$20</definedName>
    <definedName name="Capacidade">sheets1!$B$16:$B$20,sheets1!$D$16:$D$20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<sst xmlns="http://schemas.openxmlformats.org/spreadsheetml/2006/main" uniqueCount="106">
  <si>
    <t>nr Clientes</t>
  </si>
  <si>
    <t>nr Terapias</t>
  </si>
  <si>
    <t>nr Salas</t>
  </si>
  <si>
    <t>nr Dias</t>
  </si>
  <si>
    <t>nr Slots (Horarios) por turno</t>
  </si>
  <si>
    <t>nr Turnos por dia</t>
  </si>
  <si>
    <t>Limite Turnos por profissional</t>
  </si>
  <si>
    <t>Limite Turnos por cliente</t>
  </si>
  <si>
    <t>Custos (terapia)</t>
  </si>
  <si>
    <t>Demandas (em qtd de sessões):</t>
  </si>
  <si>
    <t>ABA</t>
  </si>
  <si>
    <t>FONO</t>
  </si>
  <si>
    <t>TO</t>
  </si>
  <si>
    <t>PSICOP</t>
  </si>
  <si>
    <t>FISIO</t>
  </si>
  <si>
    <t>AQUATICA</t>
  </si>
  <si>
    <t>PSICOT</t>
  </si>
  <si>
    <t>MUSICOT</t>
  </si>
  <si>
    <t>PSICOM</t>
  </si>
  <si>
    <t>NUTRI</t>
  </si>
  <si>
    <t>Terapias</t>
  </si>
  <si>
    <t>Clientes</t>
  </si>
  <si>
    <t>Lista de terapias por sala</t>
  </si>
  <si>
    <t>Salas</t>
  </si>
  <si>
    <t>AQUAT</t>
  </si>
  <si>
    <t>MUSICO</t>
  </si>
  <si>
    <t>PSCOM</t>
  </si>
  <si>
    <t>C1</t>
  </si>
  <si>
    <t>C2</t>
  </si>
  <si>
    <t>C3</t>
  </si>
  <si>
    <t>C4</t>
  </si>
  <si>
    <t>C5</t>
  </si>
  <si>
    <t>C6</t>
  </si>
  <si>
    <t>C7</t>
  </si>
  <si>
    <t>C9</t>
  </si>
  <si>
    <t>C3, P1</t>
  </si>
  <si>
    <t>C5, P1</t>
  </si>
  <si>
    <t>C1, P1</t>
  </si>
  <si>
    <t>C2, P7</t>
  </si>
  <si>
    <t>C4, P7</t>
  </si>
  <si>
    <t>C6, P7</t>
  </si>
  <si>
    <t>C9, P11</t>
  </si>
  <si>
    <t>C7, P11</t>
  </si>
  <si>
    <t>C6, P11</t>
  </si>
  <si>
    <t>C1, P11</t>
  </si>
  <si>
    <t>C2, P21</t>
  </si>
  <si>
    <t>C5, P21</t>
  </si>
  <si>
    <t>C3, P21</t>
  </si>
  <si>
    <t>C4, P21</t>
  </si>
  <si>
    <t>C7, P35</t>
  </si>
  <si>
    <t>C4, P49</t>
  </si>
  <si>
    <t>C1, P49</t>
  </si>
  <si>
    <t>C9, P49</t>
  </si>
  <si>
    <t>C6, P49</t>
  </si>
  <si>
    <t>C2, P49</t>
  </si>
  <si>
    <t>C7, P49</t>
  </si>
  <si>
    <t>C4, P55</t>
  </si>
  <si>
    <t>C2, P55</t>
  </si>
  <si>
    <t>C7, P64</t>
  </si>
  <si>
    <t>C4, P64</t>
  </si>
  <si>
    <t>C6, P64</t>
  </si>
  <si>
    <t>C1, P64</t>
  </si>
  <si>
    <t>C2, P64</t>
  </si>
  <si>
    <t>C3, P76</t>
  </si>
  <si>
    <t>C5, P76</t>
  </si>
  <si>
    <t>C1, P76</t>
  </si>
  <si>
    <t>C3, P83</t>
  </si>
  <si>
    <t>C8</t>
  </si>
  <si>
    <t>C10</t>
  </si>
  <si>
    <t>C10, P1</t>
  </si>
  <si>
    <t>C9, P1</t>
  </si>
  <si>
    <t>C10, P11</t>
  </si>
  <si>
    <t>C3, P11</t>
  </si>
  <si>
    <t>C5, P11</t>
  </si>
  <si>
    <t>C9, P21</t>
  </si>
  <si>
    <t>C10, P21</t>
  </si>
  <si>
    <t>C1, P21</t>
  </si>
  <si>
    <t>C3, P35</t>
  </si>
  <si>
    <t>C8, P49</t>
  </si>
  <si>
    <t>C5, P49</t>
  </si>
  <si>
    <t>C5, P55</t>
  </si>
  <si>
    <t>C9, P64</t>
  </si>
  <si>
    <t>C10, P64</t>
  </si>
  <si>
    <t>C10, P76</t>
  </si>
  <si>
    <t>C9, P76</t>
  </si>
  <si>
    <t>C8, P76</t>
  </si>
  <si>
    <t>C4, P76</t>
  </si>
  <si>
    <t>C4, P83</t>
  </si>
  <si>
    <t>C8, P1</t>
  </si>
  <si>
    <t>C8, P21</t>
  </si>
  <si>
    <t>C6, P21</t>
  </si>
  <si>
    <t>C8, P64</t>
  </si>
  <si>
    <t>C6, P83</t>
  </si>
  <si>
    <t>C7, P1</t>
  </si>
  <si>
    <t>C4, P11</t>
  </si>
  <si>
    <t>C2, P11</t>
  </si>
  <si>
    <t>C3, P49</t>
  </si>
  <si>
    <t>C1, P55</t>
  </si>
  <si>
    <t>C9, P55</t>
  </si>
  <si>
    <t>C7, P21</t>
  </si>
  <si>
    <t>C10, P49</t>
  </si>
  <si>
    <t>C8, P55</t>
  </si>
  <si>
    <t>C3, P64</t>
  </si>
  <si>
    <t>C5, P64</t>
  </si>
  <si>
    <t>C2, P76</t>
  </si>
  <si>
    <t>C7, P83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</si>
</sst>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 &quot;* #,##0.00_-;&quot;-S/ &quot;* #,##0.00_-;_-&quot;S/ &quot;* \-??_-;_-@_-"/>
  </numFmts>
  <fonts count="5" x14ac:knownFonts="1">
    <font>
      <sz val="10"/>
      <name val="Arial"/>
      <family val="2"/>
      <charset val="1"/>
    </font>
    <font>
      <sz val="7.5"/>
      <name val="Arial"/>
      <family val="2"/>
      <charset val="1"/>
    </font>
    <font>
      <b/>
      <sz val="10"/>
      <name val="Arial"/>
      <family val="2"/>
      <charset val="1"/>
    </font>
    <font>
      <sz val="7"/>
      <name val="Arial"/>
      <family val="2"/>
      <charset val="1"/>
    </font>
    <font>
      <b/>
      <sz val="14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B4C7DC"/>
        <bgColor rgb="FFAFD095"/>
      </patternFill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D7"/>
      </patternFill>
    </fill>
    <fill>
      <patternFill patternType="solid">
        <fgColor rgb="FFFFB66C"/>
        <bgColor rgb="FFFFCC00"/>
      </patternFill>
    </fill>
    <fill>
      <patternFill patternType="solid">
        <fgColor rgb="FFE8F2A1"/>
        <bgColor rgb="FFFFE994"/>
      </patternFill>
    </fill>
    <fill>
      <patternFill patternType="solid">
        <fgColor rgb="FF729FCF"/>
        <bgColor rgb="FF969696"/>
      </patternFill>
    </fill>
    <fill>
      <patternFill patternType="solid">
        <fgColor rgb="FFAFD095"/>
        <bgColor rgb="FFB4C7DC"/>
      </patternFill>
    </fill>
    <fill>
      <patternFill patternType="solid">
        <fgColor rgb="FFDDDDDD"/>
        <bgColor rgb="FFE7E6E6"/>
      </patternFill>
    </fill>
    <fill>
      <patternFill patternType="solid">
        <fgColor rgb="FFFFE994"/>
        <bgColor rgb="FFE8F2A1"/>
      </patternFill>
    </fill>
    <fill>
      <patternFill patternType="solid">
        <fgColor rgb="FFFF0000"/>
        <bgColor rgb="FF993300"/>
      </patternFill>
    </fill>
    <fill>
      <patternFill patternType="solid">
        <fgColor rgb="FFE7E6E6"/>
        <bgColor rgb="FFDDDDDD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11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7" borderId="4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3" xfId="0" applyFill="1" applyBorder="1"/>
    <xf numFmtId="0" fontId="0" fillId="7" borderId="3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5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9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4" borderId="3" xfId="0" applyFill="1" applyBorder="1"/>
    <xf numFmtId="3" fontId="0" fillId="10" borderId="0" xfId="0" applyNumberFormat="1" applyFill="1"/>
    <xf numFmtId="3" fontId="0" fillId="5" borderId="0" xfId="0" applyNumberFormat="1" applyFill="1"/>
    <xf numFmtId="3" fontId="0" fillId="10" borderId="3" xfId="0" applyNumberFormat="1" applyFill="1" applyBorder="1"/>
    <xf numFmtId="3" fontId="0" fillId="5" borderId="3" xfId="0" applyNumberFormat="1" applyFill="1" applyBorder="1"/>
    <xf numFmtId="0" fontId="0" fillId="11" borderId="0" xfId="0" applyFill="1"/>
    <xf numFmtId="0" fontId="0" fillId="11" borderId="3" xfId="0" applyFill="1" applyBorder="1" applyAlignment="1">
      <alignment horizontal="left"/>
    </xf>
    <xf numFmtId="0" fontId="0" fillId="11" borderId="3" xfId="0" applyFill="1" applyBorder="1" applyAlignment="1">
      <alignment horizontal="center"/>
    </xf>
    <xf numFmtId="0" fontId="0" fillId="11" borderId="0" xfId="0" applyFill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center"/>
    </xf>
    <xf numFmtId="0" fontId="0" fillId="10" borderId="1" xfId="0" applyFill="1" applyBorder="1"/>
    <xf numFmtId="0" fontId="0" fillId="0" borderId="6" xfId="0" applyBorder="1"/>
    <xf numFmtId="0" fontId="0" fillId="10" borderId="6" xfId="0" applyFill="1" applyBorder="1"/>
    <xf numFmtId="0" fontId="0" fillId="0" borderId="1" xfId="0" applyBorder="1" applyAlignment="1">
      <alignment horizontal="right"/>
    </xf>
    <xf numFmtId="0" fontId="1" fillId="0" borderId="1" xfId="0" applyFont="1" applyBorder="1"/>
    <xf numFmtId="0" fontId="0" fillId="6" borderId="0" xfId="0" applyFill="1"/>
    <xf numFmtId="0" fontId="0" fillId="0" borderId="5" xfId="0" applyBorder="1" applyAlignment="1">
      <alignment horizontal="center"/>
    </xf>
    <xf numFmtId="0" fontId="3" fillId="0" borderId="1" xfId="0" applyFont="1" applyBorder="1"/>
    <xf numFmtId="1" fontId="0" fillId="10" borderId="0" xfId="0" applyNumberFormat="1" applyFill="1"/>
    <xf numFmtId="1" fontId="0" fillId="5" borderId="0" xfId="0" applyNumberFormat="1" applyFill="1"/>
    <xf numFmtId="1" fontId="0" fillId="10" borderId="3" xfId="0" applyNumberFormat="1" applyFill="1" applyBorder="1"/>
    <xf numFmtId="1" fontId="0" fillId="5" borderId="3" xfId="0" applyNumberFormat="1" applyFill="1" applyBorder="1"/>
    <xf numFmtId="164" fontId="0" fillId="11" borderId="0" xfId="0" applyNumberFormat="1" applyFill="1" applyAlignment="1">
      <alignment horizontal="center"/>
    </xf>
    <xf numFmtId="0" fontId="0" fillId="13" borderId="0" xfId="0" applyFill="1"/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6" borderId="3" xfId="0" applyFill="1" applyBorder="1" applyAlignment="1">
      <alignment horizontal="left"/>
    </xf>
    <xf numFmtId="0" fontId="0" fillId="8" borderId="4" xfId="0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D7"/>
      <rgbColor rgb="FFE7E6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AFD095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opLeftCell="A40" zoomScale="120" zoomScaleNormal="120" workbookViewId="0">
      <selection activeCell="K7" sqref="K7"/>
    </sheetView>
  </sheetViews>
  <sheetFormatPr defaultColWidth="12" defaultRowHeight="12.75" x14ac:dyDescent="0.2"/>
  <cols>
    <col min="1" max="1" width="31.28515625" customWidth="1"/>
    <col min="2" max="6" width="11.7109375" customWidth="1"/>
  </cols>
  <sheetData>
    <row r="1" spans="1:11" ht="12.75" dyDescent="0.2" customHeight="1">
      <c r="A1" t="s">
        <v>0</v>
      </c>
      <c r="B1">
        <v>25</v>
      </c>
    </row>
    <row r="2" spans="1:11" ht="12.75" dyDescent="0.2" customHeight="1">
      <c r="A2" t="s">
        <v>1</v>
      </c>
      <c r="B2">
        <v>10</v>
      </c>
    </row>
    <row r="3" spans="1:11" ht="12.75" dyDescent="0.2" customHeight="1">
      <c r="A3" t="s">
        <v>2</v>
      </c>
      <c r="B3">
        <v>24</v>
      </c>
    </row>
    <row r="4" spans="1:11" ht="12.75" dyDescent="0.2" customHeight="1">
      <c r="A4" t="s">
        <v>3</v>
      </c>
      <c r="B4">
        <v>6</v>
      </c>
    </row>
    <row r="5" spans="1:11" ht="12.75" dyDescent="0.2" customHeight="1">
      <c r="A5" t="s">
        <v>4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</row>
    <row r="6" spans="1:11" ht="12.75" dyDescent="0.2" customHeight="1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11" ht="12.75" dyDescent="0.2" customHeight="1">
      <c r="A7" t="s">
        <v>6</v>
      </c>
      <c r="B7">
        <v>6</v>
      </c>
    </row>
    <row r="8" spans="1:11" ht="12.75" dyDescent="0.2" customHeight="1">
      <c r="A8" t="s">
        <v>7</v>
      </c>
      <c r="B8">
        <v>4</v>
      </c>
    </row>
    <row r="9" spans="1:11" ht="12.75" dyDescent="0.2" customHeight="1">
      <c r="A9" t="s">
        <v>8</v>
      </c>
      <c r="B9">
        <v>10</v>
      </c>
      <c r="C9">
        <v>20</v>
      </c>
      <c r="D9">
        <v>25</v>
      </c>
      <c r="E9">
        <v>25</v>
      </c>
      <c r="F9">
        <v>20</v>
      </c>
      <c r="G9">
        <v>25</v>
      </c>
      <c r="H9">
        <v>25</v>
      </c>
      <c r="I9">
        <v>15</v>
      </c>
      <c r="J9">
        <v>25</v>
      </c>
      <c r="K9">
        <v>20</v>
      </c>
    </row>
    <row r="10" spans="1:11" ht="12.75" dyDescent="0.2" customHeight="1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</row>
    <row r="11" spans="1:11" ht="12.75" dyDescent="0.2" customHeight="1">
      <c r="A11" s="4"/>
      <c r="B11" t="s" s="52">
        <v>20</v>
      </c>
      <c r="C11" s="52"/>
      <c r="D11" s="52"/>
      <c r="E11" s="52"/>
      <c r="F11" s="52"/>
      <c r="G11" s="52"/>
      <c r="H11" s="52"/>
      <c r="I11" s="52"/>
      <c r="J11" s="52"/>
      <c r="K11" s="52"/>
    </row>
    <row r="12" spans="1:11" ht="12.75" dyDescent="0.2" customHeight="1">
      <c r="A12" t="s" s="5">
        <v>21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>
        <v>7</v>
      </c>
      <c r="I12" s="5">
        <v>8</v>
      </c>
      <c r="J12" s="5">
        <v>9</v>
      </c>
      <c r="K12" s="5">
        <v>10</v>
      </c>
    </row>
    <row r="13" spans="1:11" ht="12.75" dyDescent="0.2" customHeight="1">
      <c r="A13" s="5">
        <v>1</v>
      </c>
      <c r="B13" s="6">
        <v>7</v>
      </c>
      <c r="C13" s="6">
        <v>4</v>
      </c>
      <c r="D13" s="6">
        <v>4</v>
      </c>
      <c r="E13" s="6">
        <v>2</v>
      </c>
      <c r="F13" s="6">
        <v>4</v>
      </c>
      <c r="G13" s="6">
        <v>2</v>
      </c>
      <c r="H13" s="6">
        <v>0</v>
      </c>
      <c r="I13" s="6">
        <v>1</v>
      </c>
      <c r="J13" s="6">
        <v>2</v>
      </c>
      <c r="K13" s="6">
        <v>0</v>
      </c>
    </row>
    <row r="14" spans="1:11" ht="12.75" dyDescent="0.2" customHeight="1">
      <c r="A14" s="5">
        <v>2</v>
      </c>
      <c r="B14" s="6">
        <v>8</v>
      </c>
      <c r="C14" s="6">
        <v>6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1</v>
      </c>
      <c r="J14" s="6">
        <v>2</v>
      </c>
      <c r="K14" s="6">
        <v>0</v>
      </c>
    </row>
    <row r="15" spans="1:11" ht="12.75" dyDescent="0.2" customHeight="1">
      <c r="A15" s="5">
        <v>3</v>
      </c>
      <c r="B15" s="6">
        <v>6</v>
      </c>
      <c r="C15" s="6">
        <v>4</v>
      </c>
      <c r="D15" s="6">
        <v>4</v>
      </c>
      <c r="E15" s="6">
        <v>2</v>
      </c>
      <c r="F15" s="6">
        <v>4</v>
      </c>
      <c r="G15" s="6">
        <v>2</v>
      </c>
      <c r="H15" s="6">
        <v>2</v>
      </c>
      <c r="I15" s="6">
        <v>0</v>
      </c>
      <c r="J15" s="6">
        <v>2</v>
      </c>
      <c r="K15" s="6">
        <v>2</v>
      </c>
    </row>
    <row r="16" spans="1:11" ht="12.75" dyDescent="0.2" customHeight="1">
      <c r="A16" s="5">
        <v>4</v>
      </c>
      <c r="B16" s="6">
        <v>9</v>
      </c>
      <c r="C16" s="6">
        <v>5</v>
      </c>
      <c r="D16" s="6">
        <v>3</v>
      </c>
      <c r="E16" s="6">
        <v>2</v>
      </c>
      <c r="F16" s="6">
        <v>0</v>
      </c>
      <c r="G16" s="6">
        <v>0</v>
      </c>
      <c r="H16" s="6">
        <v>0</v>
      </c>
      <c r="I16" s="6">
        <v>1</v>
      </c>
      <c r="J16" s="6">
        <v>2</v>
      </c>
      <c r="K16" s="6">
        <v>0</v>
      </c>
    </row>
    <row r="17" spans="1:11" ht="12.75" dyDescent="0.2" customHeight="1">
      <c r="A17" s="5">
        <v>5</v>
      </c>
      <c r="B17" s="6">
        <v>5</v>
      </c>
      <c r="C17" s="6">
        <v>5</v>
      </c>
      <c r="D17" s="6">
        <v>4</v>
      </c>
      <c r="E17" s="6">
        <v>2</v>
      </c>
      <c r="F17" s="6">
        <v>2</v>
      </c>
      <c r="G17" s="6">
        <v>0</v>
      </c>
      <c r="H17" s="6">
        <v>2</v>
      </c>
      <c r="I17" s="6">
        <v>0</v>
      </c>
      <c r="J17" s="6">
        <v>2</v>
      </c>
      <c r="K17" s="6">
        <v>2</v>
      </c>
    </row>
    <row r="18" spans="1:11" ht="12.75" dyDescent="0.2" customHeight="1">
      <c r="A18" s="5">
        <v>6</v>
      </c>
      <c r="B18" s="6">
        <v>6</v>
      </c>
      <c r="C18" s="6">
        <v>3</v>
      </c>
      <c r="D18" s="6">
        <v>2</v>
      </c>
      <c r="E18" s="6">
        <v>3</v>
      </c>
      <c r="F18" s="6">
        <v>0</v>
      </c>
      <c r="G18" s="6">
        <v>0</v>
      </c>
      <c r="H18" s="6">
        <v>3</v>
      </c>
      <c r="I18" s="6">
        <v>0</v>
      </c>
      <c r="J18" s="6">
        <v>3</v>
      </c>
      <c r="K18" s="6">
        <v>0</v>
      </c>
    </row>
    <row r="19" spans="1:11" ht="12.75" dyDescent="0.2" customHeight="1">
      <c r="A19" s="5">
        <v>7</v>
      </c>
      <c r="B19" s="6">
        <v>3</v>
      </c>
      <c r="C19" s="6">
        <v>4</v>
      </c>
      <c r="D19" s="6">
        <v>2</v>
      </c>
      <c r="E19" s="6">
        <v>2</v>
      </c>
      <c r="F19" s="6">
        <v>0</v>
      </c>
      <c r="G19" s="6">
        <v>2</v>
      </c>
      <c r="H19" s="6">
        <v>2</v>
      </c>
      <c r="I19" s="6">
        <v>1</v>
      </c>
      <c r="J19" s="6">
        <v>2</v>
      </c>
      <c r="K19" s="6">
        <v>2</v>
      </c>
    </row>
    <row r="20" spans="1:11" ht="12.75" dyDescent="0.2" customHeight="1">
      <c r="A20" s="5">
        <v>8</v>
      </c>
      <c r="B20" s="6">
        <v>6</v>
      </c>
      <c r="C20" s="6">
        <v>4</v>
      </c>
      <c r="D20" s="6">
        <v>1</v>
      </c>
      <c r="E20" s="6">
        <v>3</v>
      </c>
      <c r="F20" s="6">
        <v>2</v>
      </c>
      <c r="G20" s="6">
        <v>0</v>
      </c>
      <c r="H20" s="6">
        <v>0</v>
      </c>
      <c r="I20" s="6">
        <v>1</v>
      </c>
      <c r="J20" s="6">
        <v>2</v>
      </c>
      <c r="K20" s="6">
        <v>2</v>
      </c>
    </row>
    <row r="21" spans="1:11" ht="12.75" dyDescent="0.2" customHeight="1">
      <c r="A21" s="5">
        <v>9</v>
      </c>
      <c r="B21" s="6">
        <v>6</v>
      </c>
      <c r="C21" s="6">
        <v>4</v>
      </c>
      <c r="D21" s="6">
        <v>2</v>
      </c>
      <c r="E21" s="6">
        <v>3</v>
      </c>
      <c r="F21" s="6">
        <v>2</v>
      </c>
      <c r="G21" s="6">
        <v>0</v>
      </c>
      <c r="H21" s="6">
        <v>0</v>
      </c>
      <c r="I21" s="6">
        <v>1</v>
      </c>
      <c r="J21" s="6">
        <v>2</v>
      </c>
      <c r="K21" s="6">
        <v>2</v>
      </c>
    </row>
    <row r="22" spans="1:11" ht="12.75" dyDescent="0.2" customHeight="1">
      <c r="A22" s="5">
        <v>10</v>
      </c>
      <c r="B22" s="6">
        <v>6</v>
      </c>
      <c r="C22" s="6">
        <v>4</v>
      </c>
      <c r="D22" s="6">
        <v>2</v>
      </c>
      <c r="E22" s="6">
        <v>2</v>
      </c>
      <c r="F22" s="6">
        <v>2</v>
      </c>
      <c r="G22" s="6">
        <v>0</v>
      </c>
      <c r="H22" s="6">
        <v>2</v>
      </c>
      <c r="I22" s="6">
        <v>0</v>
      </c>
      <c r="J22" s="6">
        <v>2</v>
      </c>
      <c r="K22" s="6">
        <v>2</v>
      </c>
    </row>
    <row r="23" spans="1:11" ht="12.75" dyDescent="0.2" customHeight="1">
      <c r="A23" s="5">
        <v>11</v>
      </c>
      <c r="B23" s="6">
        <v>7</v>
      </c>
      <c r="C23" s="6">
        <v>3</v>
      </c>
      <c r="D23" s="6">
        <v>6</v>
      </c>
      <c r="E23" s="6">
        <v>3</v>
      </c>
      <c r="F23" s="6">
        <v>0</v>
      </c>
      <c r="G23" s="6">
        <v>0</v>
      </c>
      <c r="H23" s="6">
        <v>2</v>
      </c>
      <c r="I23" s="6">
        <v>0</v>
      </c>
      <c r="J23" s="6">
        <v>1</v>
      </c>
      <c r="K23" s="6">
        <v>0</v>
      </c>
    </row>
    <row r="24" spans="1:11" ht="12.75" dyDescent="0.2" customHeight="1">
      <c r="A24" s="5">
        <v>12</v>
      </c>
      <c r="B24" s="6">
        <v>6</v>
      </c>
      <c r="C24" s="6">
        <v>4</v>
      </c>
      <c r="D24" s="6">
        <v>1</v>
      </c>
      <c r="E24" s="6">
        <v>2</v>
      </c>
      <c r="F24" s="6">
        <v>0</v>
      </c>
      <c r="G24" s="6">
        <v>0</v>
      </c>
      <c r="H24" s="6">
        <v>3</v>
      </c>
      <c r="I24" s="6">
        <v>0</v>
      </c>
      <c r="J24" s="6">
        <v>3</v>
      </c>
      <c r="K24" s="6">
        <v>2</v>
      </c>
    </row>
    <row r="25" spans="1:11" ht="12.75" dyDescent="0.2" customHeight="1">
      <c r="A25" s="5">
        <v>13</v>
      </c>
      <c r="B25" s="6">
        <v>5</v>
      </c>
      <c r="C25" s="6">
        <v>2</v>
      </c>
      <c r="D25" s="6">
        <v>2</v>
      </c>
      <c r="E25" s="6">
        <v>3</v>
      </c>
      <c r="F25" s="6">
        <v>0</v>
      </c>
      <c r="G25" s="6">
        <v>0</v>
      </c>
      <c r="H25" s="6">
        <v>4</v>
      </c>
      <c r="I25" s="6">
        <v>0</v>
      </c>
      <c r="J25" s="6">
        <v>2</v>
      </c>
      <c r="K25" s="6">
        <v>0</v>
      </c>
    </row>
    <row r="26" spans="1:11" ht="12.75" dyDescent="0.2" customHeight="1">
      <c r="A26" s="5">
        <v>14</v>
      </c>
      <c r="B26" s="6">
        <v>3</v>
      </c>
      <c r="C26" s="6">
        <v>2</v>
      </c>
      <c r="D26" s="6">
        <v>4</v>
      </c>
      <c r="E26" s="6">
        <v>2</v>
      </c>
      <c r="F26" s="6">
        <v>2</v>
      </c>
      <c r="G26" s="6">
        <v>0</v>
      </c>
      <c r="H26" s="6">
        <v>3</v>
      </c>
      <c r="I26" s="6">
        <v>1</v>
      </c>
      <c r="J26" s="6">
        <v>2</v>
      </c>
      <c r="K26" s="6">
        <v>2</v>
      </c>
    </row>
    <row r="27" spans="1:11" ht="12.75" dyDescent="0.2" customHeight="1">
      <c r="A27" s="5">
        <v>15</v>
      </c>
      <c r="B27" s="6">
        <v>8</v>
      </c>
      <c r="C27" s="6">
        <v>2</v>
      </c>
      <c r="D27" s="6">
        <v>4</v>
      </c>
      <c r="E27" s="6">
        <v>4</v>
      </c>
      <c r="F27" s="6">
        <v>0</v>
      </c>
      <c r="G27" s="6">
        <v>0</v>
      </c>
      <c r="H27" s="6">
        <v>4</v>
      </c>
      <c r="I27" s="6">
        <v>0</v>
      </c>
      <c r="J27" s="6">
        <v>2</v>
      </c>
      <c r="K27" s="6">
        <v>0</v>
      </c>
    </row>
    <row r="28" spans="1:11" ht="12.75" dyDescent="0.2" customHeight="1">
      <c r="A28" s="5">
        <v>16</v>
      </c>
      <c r="B28" s="6">
        <v>9</v>
      </c>
      <c r="C28" s="6">
        <v>6</v>
      </c>
      <c r="D28" s="6">
        <v>4</v>
      </c>
      <c r="E28" s="6">
        <v>2</v>
      </c>
      <c r="F28" s="6">
        <v>2</v>
      </c>
      <c r="G28" s="6">
        <v>0</v>
      </c>
      <c r="H28" s="6">
        <v>2</v>
      </c>
      <c r="I28" s="6">
        <v>0</v>
      </c>
      <c r="J28" s="6">
        <v>3</v>
      </c>
      <c r="K28" s="6">
        <v>4</v>
      </c>
    </row>
    <row r="29" spans="1:11" ht="12.75" dyDescent="0.2" customHeight="1">
      <c r="A29" s="5">
        <v>17</v>
      </c>
      <c r="B29" s="6">
        <v>7</v>
      </c>
      <c r="C29" s="6">
        <v>2</v>
      </c>
      <c r="D29" s="6">
        <v>2</v>
      </c>
      <c r="E29" s="6">
        <v>2</v>
      </c>
      <c r="F29" s="6">
        <v>0</v>
      </c>
      <c r="G29" s="6">
        <v>0</v>
      </c>
      <c r="H29" s="6">
        <v>2</v>
      </c>
      <c r="I29" s="6">
        <v>0</v>
      </c>
      <c r="J29" s="6">
        <v>1</v>
      </c>
      <c r="K29" s="6">
        <v>0</v>
      </c>
    </row>
    <row r="30" spans="1:11" ht="12.75" dyDescent="0.2" customHeight="1">
      <c r="A30" s="5">
        <v>18</v>
      </c>
      <c r="B30" s="6">
        <v>7</v>
      </c>
      <c r="C30" s="6">
        <v>4</v>
      </c>
      <c r="D30" s="6">
        <v>2</v>
      </c>
      <c r="E30" s="6">
        <v>2</v>
      </c>
      <c r="F30" s="6">
        <v>0</v>
      </c>
      <c r="G30" s="6">
        <v>0</v>
      </c>
      <c r="H30" s="6">
        <v>2</v>
      </c>
      <c r="I30" s="6">
        <v>1</v>
      </c>
      <c r="J30" s="6">
        <v>2</v>
      </c>
      <c r="K30" s="6">
        <v>2</v>
      </c>
    </row>
    <row r="31" spans="1:11" ht="12.75" dyDescent="0.2" customHeight="1">
      <c r="A31" s="5">
        <v>19</v>
      </c>
      <c r="B31" s="6">
        <v>10</v>
      </c>
      <c r="C31" s="6">
        <v>2</v>
      </c>
      <c r="D31" s="6">
        <v>2</v>
      </c>
      <c r="E31" s="6">
        <v>2</v>
      </c>
      <c r="F31" s="6">
        <v>2</v>
      </c>
      <c r="G31" s="6">
        <v>0</v>
      </c>
      <c r="H31" s="6">
        <v>2</v>
      </c>
      <c r="I31" s="6">
        <v>0</v>
      </c>
      <c r="J31" s="6">
        <v>2</v>
      </c>
      <c r="K31" s="6">
        <v>0</v>
      </c>
    </row>
    <row r="32" spans="1:11" ht="12.75" dyDescent="0.2" customHeight="1">
      <c r="A32" s="5">
        <v>20</v>
      </c>
      <c r="B32" s="6">
        <v>5</v>
      </c>
      <c r="C32" s="6">
        <v>6</v>
      </c>
      <c r="D32" s="6">
        <v>4</v>
      </c>
      <c r="E32" s="6">
        <v>2</v>
      </c>
      <c r="F32" s="6">
        <v>5</v>
      </c>
      <c r="G32" s="6">
        <v>0</v>
      </c>
      <c r="H32" s="6">
        <v>1</v>
      </c>
      <c r="I32" s="6">
        <v>1</v>
      </c>
      <c r="J32" s="6">
        <v>2</v>
      </c>
      <c r="K32" s="6">
        <v>0</v>
      </c>
    </row>
    <row r="33" spans="1:11" ht="12.75" dyDescent="0.2" customHeight="1">
      <c r="A33" s="5">
        <v>21</v>
      </c>
      <c r="B33" s="6">
        <v>8</v>
      </c>
      <c r="C33" s="6">
        <v>4</v>
      </c>
      <c r="D33" s="6">
        <v>1</v>
      </c>
      <c r="E33" s="6">
        <v>4</v>
      </c>
      <c r="F33" s="6">
        <v>0</v>
      </c>
      <c r="G33" s="6">
        <v>0</v>
      </c>
      <c r="H33" s="6">
        <v>0</v>
      </c>
      <c r="I33" s="6">
        <v>1</v>
      </c>
      <c r="J33" s="6">
        <v>3</v>
      </c>
      <c r="K33" s="6">
        <v>0</v>
      </c>
    </row>
    <row r="34" spans="1:11" ht="12.75" dyDescent="0.2" customHeight="1">
      <c r="A34" s="5">
        <v>22</v>
      </c>
      <c r="B34" s="6">
        <v>6</v>
      </c>
      <c r="C34" s="6">
        <v>3</v>
      </c>
      <c r="D34" s="6">
        <v>2</v>
      </c>
      <c r="E34" s="6">
        <v>4</v>
      </c>
      <c r="F34" s="6">
        <v>0</v>
      </c>
      <c r="G34" s="6">
        <v>0</v>
      </c>
      <c r="H34" s="6">
        <v>3</v>
      </c>
      <c r="I34" s="6">
        <v>0</v>
      </c>
      <c r="J34" s="6">
        <v>3</v>
      </c>
      <c r="K34" s="6">
        <v>0</v>
      </c>
    </row>
    <row r="35" spans="1:11" ht="12.75" dyDescent="0.2" customHeight="1">
      <c r="A35" s="5">
        <v>23</v>
      </c>
      <c r="B35" s="6">
        <v>6</v>
      </c>
      <c r="C35" s="6">
        <v>4</v>
      </c>
      <c r="D35" s="6">
        <v>4</v>
      </c>
      <c r="E35" s="6">
        <v>3</v>
      </c>
      <c r="F35" s="6">
        <v>0</v>
      </c>
      <c r="G35" s="6">
        <v>0</v>
      </c>
      <c r="H35" s="6">
        <v>3</v>
      </c>
      <c r="I35" s="6">
        <v>1</v>
      </c>
      <c r="J35" s="6">
        <v>3</v>
      </c>
      <c r="K35" s="6">
        <v>0</v>
      </c>
    </row>
    <row r="36" spans="1:11" ht="12.75" dyDescent="0.2" customHeight="1">
      <c r="A36" s="5">
        <v>24</v>
      </c>
      <c r="B36" s="6">
        <v>5</v>
      </c>
      <c r="C36" s="6">
        <v>4</v>
      </c>
      <c r="D36" s="6">
        <v>4</v>
      </c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2</v>
      </c>
      <c r="K36" s="6">
        <v>0</v>
      </c>
    </row>
    <row r="37" spans="1:11" ht="12.75" dyDescent="0.2" customHeight="1">
      <c r="A37" s="5">
        <v>25</v>
      </c>
      <c r="B37" s="6">
        <v>10</v>
      </c>
      <c r="C37" s="6">
        <v>3</v>
      </c>
      <c r="D37" s="6">
        <v>2</v>
      </c>
      <c r="E37" s="6">
        <v>2</v>
      </c>
      <c r="F37" s="6">
        <v>2</v>
      </c>
      <c r="G37" s="6">
        <v>0</v>
      </c>
      <c r="H37" s="6">
        <v>0</v>
      </c>
      <c r="I37" s="6">
        <v>1</v>
      </c>
      <c r="J37" s="6">
        <v>2</v>
      </c>
      <c r="K37" s="6">
        <v>0</v>
      </c>
    </row>
    <row r="38" spans="1:11" ht="12.75" dyDescent="0.2" customHeight="1">
      <c r="A38" t="s">
        <v>22</v>
      </c>
    </row>
    <row r="39" spans="1:11" ht="12.75" dyDescent="0.2" customHeight="1">
      <c r="A39" t="s" s="5">
        <v>23</v>
      </c>
      <c r="B39" t="s" s="5">
        <v>20</v>
      </c>
    </row>
    <row r="40" spans="1:11" ht="12.75" dyDescent="0.2" customHeight="1">
      <c r="A40" s="4">
        <v>1</v>
      </c>
      <c r="B40" s="4">
        <v>5</v>
      </c>
    </row>
    <row r="41" spans="1:11" ht="12.75" dyDescent="0.2" customHeight="1">
      <c r="A41" s="4">
        <v>2</v>
      </c>
      <c r="B41" s="4">
        <v>2</v>
      </c>
    </row>
    <row r="42" spans="1:11" ht="12.75" dyDescent="0.2" customHeight="1">
      <c r="A42" s="4">
        <v>3</v>
      </c>
      <c r="B42" s="4">
        <v>2</v>
      </c>
    </row>
    <row r="43" spans="1:11" ht="12.75" dyDescent="0.2" customHeight="1">
      <c r="A43" s="4">
        <v>4</v>
      </c>
      <c r="B43" s="4">
        <v>2</v>
      </c>
    </row>
    <row r="44" spans="1:11" dyDescent="0.2">
      <c r="A44" s="4">
        <v>5</v>
      </c>
      <c r="B44" s="4">
        <v>2</v>
      </c>
    </row>
    <row r="45" spans="1:11" dyDescent="0.2">
      <c r="A45" s="4">
        <v>6</v>
      </c>
      <c r="B45" s="4">
        <v>1</v>
      </c>
    </row>
    <row r="46" spans="1:11" dyDescent="0.2">
      <c r="A46" s="4">
        <v>7</v>
      </c>
      <c r="B46" s="4">
        <v>8</v>
      </c>
    </row>
    <row r="47" spans="1:11" dyDescent="0.2">
      <c r="A47" s="4">
        <v>8</v>
      </c>
      <c r="B47" s="4">
        <v>7</v>
      </c>
    </row>
    <row r="48" spans="1:11" dyDescent="0.2">
      <c r="A48" s="4">
        <v>9</v>
      </c>
      <c r="B48" s="4">
        <v>7</v>
      </c>
    </row>
    <row r="49" spans="1:11" dyDescent="0.2">
      <c r="A49" s="4">
        <v>10</v>
      </c>
      <c r="B49" s="4">
        <v>4</v>
      </c>
    </row>
    <row r="50" spans="1:11" dyDescent="0.2">
      <c r="A50" s="4">
        <v>11</v>
      </c>
      <c r="B50" s="4">
        <v>4</v>
      </c>
    </row>
    <row r="51" spans="1:11" dyDescent="0.2">
      <c r="A51" s="4">
        <v>12</v>
      </c>
      <c r="B51" s="4">
        <v>4</v>
      </c>
    </row>
    <row r="52" spans="1:11" dyDescent="0.2">
      <c r="A52" s="4">
        <v>13</v>
      </c>
      <c r="B52" s="4">
        <v>1</v>
      </c>
    </row>
    <row r="53" spans="1:11" dyDescent="0.2">
      <c r="A53" s="4">
        <v>14</v>
      </c>
      <c r="B53" s="4">
        <v>1</v>
      </c>
    </row>
    <row r="54" spans="1:11" dyDescent="0.2">
      <c r="A54" s="4">
        <v>15</v>
      </c>
      <c r="B54" s="4">
        <v>1</v>
      </c>
    </row>
    <row r="55" spans="1:11" dyDescent="0.2">
      <c r="A55" s="4">
        <v>16</v>
      </c>
      <c r="B55" s="4">
        <v>1</v>
      </c>
    </row>
    <row r="56" spans="1:11" dyDescent="0.2">
      <c r="A56" s="4">
        <v>17</v>
      </c>
      <c r="B56" s="4">
        <v>1</v>
      </c>
    </row>
    <row r="57" spans="1:11" dyDescent="0.2">
      <c r="A57" s="4">
        <v>18</v>
      </c>
      <c r="B57" s="4">
        <v>3</v>
      </c>
    </row>
    <row r="58" spans="1:11" dyDescent="0.2">
      <c r="A58" s="4">
        <v>19</v>
      </c>
      <c r="B58" s="4">
        <v>3</v>
      </c>
    </row>
    <row r="59" spans="1:11" dyDescent="0.2">
      <c r="A59" s="4">
        <v>20</v>
      </c>
      <c r="B59" s="4">
        <v>9</v>
      </c>
    </row>
    <row r="60" spans="1:11" dyDescent="0.2">
      <c r="A60" s="4">
        <v>21</v>
      </c>
      <c r="B60" s="4">
        <v>10</v>
      </c>
    </row>
    <row r="61" spans="1:11" dyDescent="0.2">
      <c r="A61" s="4">
        <v>22</v>
      </c>
      <c r="B61" s="4">
        <v>6</v>
      </c>
    </row>
    <row r="62" spans="1:11" dyDescent="0.2">
      <c r="A62" s="4">
        <v>23</v>
      </c>
      <c r="B62" s="51">
        <v>9</v>
      </c>
    </row>
    <row r="63" spans="1:11" dyDescent="0.2">
      <c r="A63" s="51">
        <v>24</v>
      </c>
      <c r="B63" s="51">
        <v>6</v>
      </c>
    </row>
  </sheetData>
  <mergeCells count="1">
    <mergeCell ref="B11:K1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opLeftCell="A10" zoomScale="120" zoomScaleNormal="120" workbookViewId="0">
      <selection activeCell="B52" sqref="B52:B74"/>
    </sheetView>
  </sheetViews>
  <sheetFormatPr defaultColWidth="12" defaultRowHeight="12.75" x14ac:dyDescent="0.2"/>
  <cols>
    <col min="1" max="1" width="31.28515625" customWidth="1"/>
    <col min="2" max="6" width="11.7109375" customWidth="1"/>
  </cols>
  <sheetData>
    <row r="1" spans="1:11" ht="12.75" dyDescent="0.2" customHeight="1">
      <c r="A1" t="s">
        <v>0</v>
      </c>
      <c r="B1">
        <v>37</v>
      </c>
    </row>
    <row r="2" spans="1:11" ht="12.75" dyDescent="0.2" customHeight="1">
      <c r="A2" t="s">
        <v>1</v>
      </c>
      <c r="B2">
        <v>10</v>
      </c>
    </row>
    <row r="3" spans="1:11" ht="12.75" dyDescent="0.2" customHeight="1">
      <c r="A3" t="s">
        <v>2</v>
      </c>
      <c r="B3">
        <v>23</v>
      </c>
    </row>
    <row r="4" spans="1:11" ht="12.75" dyDescent="0.2" customHeight="1">
      <c r="A4" t="s">
        <v>3</v>
      </c>
      <c r="B4">
        <v>5</v>
      </c>
    </row>
    <row r="5" spans="1:11" ht="12.75" dyDescent="0.2" customHeight="1">
      <c r="A5" t="s">
        <v>4</v>
      </c>
      <c r="B5">
        <v>8</v>
      </c>
      <c r="C5">
        <v>8</v>
      </c>
      <c r="D5">
        <v>8</v>
      </c>
      <c r="E5">
        <v>8</v>
      </c>
      <c r="F5">
        <v>8</v>
      </c>
    </row>
    <row r="6" spans="1:11" ht="12.75" dyDescent="0.2" customHeight="1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</row>
    <row r="7" spans="1:11" ht="12.75" dyDescent="0.2" customHeight="1">
      <c r="A7" t="s">
        <v>6</v>
      </c>
      <c r="B7">
        <v>5</v>
      </c>
    </row>
    <row r="8" spans="1:11" ht="12.75" dyDescent="0.2" customHeight="1">
      <c r="A8" t="s">
        <v>7</v>
      </c>
      <c r="B8">
        <v>4</v>
      </c>
    </row>
    <row r="9" spans="1:11" ht="12.75" dyDescent="0.2" customHeight="1">
      <c r="A9" t="s">
        <v>8</v>
      </c>
      <c r="B9">
        <v>10</v>
      </c>
      <c r="C9">
        <v>20</v>
      </c>
      <c r="D9">
        <v>25</v>
      </c>
      <c r="E9">
        <v>25</v>
      </c>
      <c r="F9">
        <v>20</v>
      </c>
      <c r="G9">
        <v>25</v>
      </c>
      <c r="H9">
        <v>25</v>
      </c>
      <c r="I9">
        <v>15</v>
      </c>
      <c r="J9">
        <v>25</v>
      </c>
      <c r="K9">
        <v>20</v>
      </c>
    </row>
    <row r="10" spans="1:11" ht="12.75" dyDescent="0.2" customHeight="1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</row>
    <row r="11" spans="1:11" ht="12.75" dyDescent="0.2" customHeight="1">
      <c r="A11" s="4"/>
      <c r="B11" t="s" s="52">
        <v>20</v>
      </c>
      <c r="C11" s="52"/>
      <c r="D11" s="52"/>
      <c r="E11" s="52"/>
      <c r="F11" s="52"/>
      <c r="G11" s="52"/>
      <c r="H11" s="52"/>
      <c r="I11" s="52"/>
      <c r="J11" s="52"/>
      <c r="K11" s="52"/>
    </row>
    <row r="12" spans="1:11" ht="12.75" dyDescent="0.2" customHeight="1">
      <c r="A12" t="s" s="5">
        <v>21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>
        <v>7</v>
      </c>
      <c r="I12" s="5">
        <v>8</v>
      </c>
      <c r="J12" s="5">
        <v>9</v>
      </c>
      <c r="K12" s="5">
        <v>10</v>
      </c>
    </row>
    <row r="13" spans="1:11" ht="12.75" dyDescent="0.2" customHeight="1">
      <c r="A13" s="5">
        <v>1</v>
      </c>
      <c r="B13" s="6">
        <v>12</v>
      </c>
      <c r="C13" s="6">
        <v>4</v>
      </c>
      <c r="D13" s="6">
        <v>1</v>
      </c>
      <c r="E13" s="6">
        <v>2</v>
      </c>
      <c r="F13" s="6">
        <v>4</v>
      </c>
      <c r="G13" s="6">
        <v>0</v>
      </c>
      <c r="H13" s="6">
        <v>4</v>
      </c>
      <c r="I13" s="6">
        <v>0</v>
      </c>
      <c r="J13" s="6">
        <v>3</v>
      </c>
      <c r="K13" s="6">
        <v>0</v>
      </c>
    </row>
    <row r="14" spans="1:11" ht="12.75" dyDescent="0.2" customHeight="1">
      <c r="A14" s="5">
        <v>2</v>
      </c>
      <c r="B14" s="6">
        <v>6</v>
      </c>
      <c r="C14" s="6">
        <v>4</v>
      </c>
      <c r="D14" s="6">
        <v>2</v>
      </c>
      <c r="E14" s="6">
        <v>3</v>
      </c>
      <c r="F14" s="6">
        <v>0</v>
      </c>
      <c r="G14" s="6">
        <v>0</v>
      </c>
      <c r="H14" s="6">
        <v>2</v>
      </c>
      <c r="I14" s="6">
        <v>1</v>
      </c>
      <c r="J14" s="6">
        <v>2</v>
      </c>
      <c r="K14" s="6">
        <v>2</v>
      </c>
    </row>
    <row r="15" spans="1:11" ht="12.75" dyDescent="0.2" customHeight="1">
      <c r="A15" s="5">
        <v>3</v>
      </c>
      <c r="B15" s="6">
        <v>6</v>
      </c>
      <c r="C15" s="6">
        <v>4</v>
      </c>
      <c r="D15" s="6">
        <v>2</v>
      </c>
      <c r="E15" s="6">
        <v>2</v>
      </c>
      <c r="F15" s="6">
        <v>0</v>
      </c>
      <c r="G15" s="6">
        <v>0</v>
      </c>
      <c r="H15" s="6">
        <v>2</v>
      </c>
      <c r="I15" s="6">
        <v>0</v>
      </c>
      <c r="J15" s="6">
        <v>3</v>
      </c>
      <c r="K15" s="6">
        <v>2</v>
      </c>
    </row>
    <row r="16" spans="1:11" ht="12.75" dyDescent="0.2" customHeight="1">
      <c r="A16" s="5">
        <v>4</v>
      </c>
      <c r="B16" s="6">
        <v>7</v>
      </c>
      <c r="C16" s="6">
        <v>4</v>
      </c>
      <c r="D16" s="6">
        <v>2</v>
      </c>
      <c r="E16" s="6">
        <v>3</v>
      </c>
      <c r="F16" s="6">
        <v>2</v>
      </c>
      <c r="G16" s="6">
        <v>0</v>
      </c>
      <c r="H16" s="6">
        <v>0</v>
      </c>
      <c r="I16" s="6">
        <v>1</v>
      </c>
      <c r="J16" s="6">
        <v>2</v>
      </c>
      <c r="K16" s="6">
        <v>2</v>
      </c>
    </row>
    <row r="17" spans="1:11" ht="12.75" dyDescent="0.2" customHeight="1">
      <c r="A17" s="5">
        <v>5</v>
      </c>
      <c r="B17" s="6">
        <v>8</v>
      </c>
      <c r="C17" s="6">
        <v>3</v>
      </c>
      <c r="D17" s="6">
        <v>2</v>
      </c>
      <c r="E17" s="6">
        <v>2</v>
      </c>
      <c r="F17" s="6">
        <v>1</v>
      </c>
      <c r="G17" s="6">
        <v>0</v>
      </c>
      <c r="H17" s="6">
        <v>1</v>
      </c>
      <c r="I17" s="6">
        <v>1</v>
      </c>
      <c r="J17" s="6">
        <v>3</v>
      </c>
      <c r="K17" s="6">
        <v>0</v>
      </c>
    </row>
    <row r="18" spans="1:11" ht="12.75" dyDescent="0.2" customHeight="1">
      <c r="A18" s="5">
        <v>6</v>
      </c>
      <c r="B18" s="6">
        <v>9</v>
      </c>
      <c r="C18" s="6">
        <v>3</v>
      </c>
      <c r="D18" s="6">
        <v>1</v>
      </c>
      <c r="E18" s="6">
        <v>3</v>
      </c>
      <c r="F18" s="6">
        <v>5</v>
      </c>
      <c r="G18" s="6">
        <v>0</v>
      </c>
      <c r="H18" s="6">
        <v>0</v>
      </c>
      <c r="I18" s="6">
        <v>1</v>
      </c>
      <c r="J18" s="6">
        <v>4</v>
      </c>
      <c r="K18" s="6">
        <v>0</v>
      </c>
    </row>
    <row r="19" spans="1:11" ht="12.75" dyDescent="0.2" customHeight="1">
      <c r="A19" s="5">
        <v>7</v>
      </c>
      <c r="B19" s="6">
        <v>7</v>
      </c>
      <c r="C19" s="6">
        <v>2</v>
      </c>
      <c r="D19" s="6">
        <v>2</v>
      </c>
      <c r="E19" s="6">
        <v>4</v>
      </c>
      <c r="F19" s="6">
        <v>4</v>
      </c>
      <c r="G19" s="6">
        <v>0</v>
      </c>
      <c r="H19" s="6">
        <v>0</v>
      </c>
      <c r="I19" s="6">
        <v>1</v>
      </c>
      <c r="J19" s="6">
        <v>2</v>
      </c>
      <c r="K19" s="6">
        <v>0</v>
      </c>
    </row>
    <row r="20" spans="1:11" ht="12.75" dyDescent="0.2" customHeight="1">
      <c r="A20" s="5">
        <v>8</v>
      </c>
      <c r="B20" s="6">
        <v>8</v>
      </c>
      <c r="C20" s="6">
        <v>4</v>
      </c>
      <c r="D20" s="6">
        <v>2</v>
      </c>
      <c r="E20" s="6">
        <v>2</v>
      </c>
      <c r="F20" s="6">
        <v>2</v>
      </c>
      <c r="G20" s="6">
        <v>0</v>
      </c>
      <c r="H20" s="6">
        <v>2</v>
      </c>
      <c r="I20" s="6">
        <v>0</v>
      </c>
      <c r="J20" s="6">
        <v>2</v>
      </c>
      <c r="K20" s="6">
        <v>0</v>
      </c>
    </row>
    <row r="21" spans="1:11" ht="12.75" dyDescent="0.2" customHeight="1">
      <c r="A21" s="5">
        <v>9</v>
      </c>
      <c r="B21" s="6">
        <v>7</v>
      </c>
      <c r="C21" s="6">
        <v>3</v>
      </c>
      <c r="D21" s="6">
        <v>2</v>
      </c>
      <c r="E21" s="6">
        <v>2</v>
      </c>
      <c r="F21" s="6">
        <v>2</v>
      </c>
      <c r="G21" s="6">
        <v>0</v>
      </c>
      <c r="H21" s="6">
        <v>2</v>
      </c>
      <c r="I21" s="6">
        <v>1</v>
      </c>
      <c r="J21" s="6">
        <v>2</v>
      </c>
      <c r="K21" s="6">
        <v>2</v>
      </c>
    </row>
    <row r="22" spans="1:11" ht="12.75" dyDescent="0.2" customHeight="1">
      <c r="A22" s="5">
        <v>10</v>
      </c>
      <c r="B22" s="6">
        <v>9</v>
      </c>
      <c r="C22" s="6">
        <v>4</v>
      </c>
      <c r="D22" s="6">
        <v>2</v>
      </c>
      <c r="E22" s="6">
        <v>4</v>
      </c>
      <c r="F22" s="6">
        <v>0</v>
      </c>
      <c r="G22" s="6">
        <v>0</v>
      </c>
      <c r="H22" s="6">
        <v>2</v>
      </c>
      <c r="I22" s="6">
        <v>0</v>
      </c>
      <c r="J22" s="6">
        <v>2</v>
      </c>
      <c r="K22" s="6">
        <v>0</v>
      </c>
    </row>
    <row r="23" spans="1:11" ht="12.75" dyDescent="0.2" customHeight="1">
      <c r="A23" s="5">
        <v>11</v>
      </c>
      <c r="B23" s="6">
        <v>10</v>
      </c>
      <c r="C23" s="6">
        <v>2</v>
      </c>
      <c r="D23" s="6">
        <v>3</v>
      </c>
      <c r="E23" s="6">
        <v>3</v>
      </c>
      <c r="F23" s="6">
        <v>2</v>
      </c>
      <c r="G23" s="6">
        <v>0</v>
      </c>
      <c r="H23" s="6">
        <v>1</v>
      </c>
      <c r="I23" s="6">
        <v>1</v>
      </c>
      <c r="J23" s="6">
        <v>2</v>
      </c>
      <c r="K23" s="6">
        <v>2</v>
      </c>
    </row>
    <row r="24" spans="1:11" ht="12.75" dyDescent="0.2" customHeight="1">
      <c r="A24" s="5">
        <v>12</v>
      </c>
      <c r="B24" s="6">
        <v>8</v>
      </c>
      <c r="C24" s="6">
        <v>2</v>
      </c>
      <c r="D24" s="6">
        <v>3</v>
      </c>
      <c r="E24" s="6">
        <v>2</v>
      </c>
      <c r="F24" s="6">
        <v>2</v>
      </c>
      <c r="G24" s="6">
        <v>0</v>
      </c>
      <c r="H24" s="6">
        <v>4</v>
      </c>
      <c r="I24" s="6">
        <v>1</v>
      </c>
      <c r="J24" s="6">
        <v>2</v>
      </c>
      <c r="K24" s="6">
        <v>0</v>
      </c>
    </row>
    <row r="25" spans="1:11" ht="12.75" dyDescent="0.2" customHeight="1">
      <c r="A25" s="5">
        <v>13</v>
      </c>
      <c r="B25" s="6">
        <v>5</v>
      </c>
      <c r="C25" s="6">
        <v>4</v>
      </c>
      <c r="D25" s="6">
        <v>2</v>
      </c>
      <c r="E25" s="6">
        <v>2</v>
      </c>
      <c r="F25" s="6">
        <v>3</v>
      </c>
      <c r="G25" s="6">
        <v>0</v>
      </c>
      <c r="H25" s="6">
        <v>2</v>
      </c>
      <c r="I25" s="6">
        <v>1</v>
      </c>
      <c r="J25" s="6">
        <v>2</v>
      </c>
      <c r="K25" s="6">
        <v>0</v>
      </c>
    </row>
    <row r="26" spans="1:11" ht="12.75" dyDescent="0.2" customHeight="1">
      <c r="A26" s="5">
        <v>14</v>
      </c>
      <c r="B26" s="6">
        <v>5</v>
      </c>
      <c r="C26" s="6">
        <v>4</v>
      </c>
      <c r="D26" s="6">
        <v>1</v>
      </c>
      <c r="E26" s="6">
        <v>3</v>
      </c>
      <c r="F26" s="6">
        <v>5</v>
      </c>
      <c r="G26" s="6">
        <v>0</v>
      </c>
      <c r="H26" s="6">
        <v>1</v>
      </c>
      <c r="I26" s="6">
        <v>1</v>
      </c>
      <c r="J26" s="6">
        <v>2</v>
      </c>
      <c r="K26" s="6">
        <v>0</v>
      </c>
    </row>
    <row r="27" spans="1:11" ht="12.75" dyDescent="0.2" customHeight="1">
      <c r="A27" s="5">
        <v>15</v>
      </c>
      <c r="B27" s="6">
        <v>8</v>
      </c>
      <c r="C27" s="6">
        <v>0</v>
      </c>
      <c r="D27" s="6">
        <v>3</v>
      </c>
      <c r="E27" s="6">
        <v>3</v>
      </c>
      <c r="F27" s="6">
        <v>0</v>
      </c>
      <c r="G27" s="6">
        <v>0</v>
      </c>
      <c r="H27" s="6">
        <v>2</v>
      </c>
      <c r="I27" s="6">
        <v>1</v>
      </c>
      <c r="J27" s="6">
        <v>4</v>
      </c>
      <c r="K27" s="6">
        <v>2</v>
      </c>
    </row>
    <row r="28" spans="1:11" ht="12.75" dyDescent="0.2" customHeight="1">
      <c r="A28" s="5">
        <v>16</v>
      </c>
      <c r="B28" s="6">
        <v>10</v>
      </c>
      <c r="C28" s="6">
        <v>3</v>
      </c>
      <c r="D28" s="6">
        <v>2</v>
      </c>
      <c r="E28" s="6">
        <v>4</v>
      </c>
      <c r="F28" s="6">
        <v>2</v>
      </c>
      <c r="G28" s="6">
        <v>0</v>
      </c>
      <c r="H28" s="6">
        <v>2</v>
      </c>
      <c r="I28" s="6">
        <v>1</v>
      </c>
      <c r="J28" s="6">
        <v>4</v>
      </c>
      <c r="K28" s="6">
        <v>2</v>
      </c>
    </row>
    <row r="29" spans="1:11" ht="12.75" dyDescent="0.2" customHeight="1">
      <c r="A29" s="5">
        <v>17</v>
      </c>
      <c r="B29" s="6">
        <v>9</v>
      </c>
      <c r="C29" s="6">
        <v>2</v>
      </c>
      <c r="D29" s="6">
        <v>4</v>
      </c>
      <c r="E29" s="6">
        <v>4</v>
      </c>
      <c r="F29" s="6">
        <v>0</v>
      </c>
      <c r="G29" s="6">
        <v>0</v>
      </c>
      <c r="H29" s="6">
        <v>2</v>
      </c>
      <c r="I29" s="6">
        <v>1</v>
      </c>
      <c r="J29" s="6">
        <v>2</v>
      </c>
      <c r="K29" s="6">
        <v>0</v>
      </c>
    </row>
    <row r="30" spans="1:11" ht="12.75" dyDescent="0.2" customHeight="1">
      <c r="A30" s="5">
        <v>18</v>
      </c>
      <c r="B30" s="6">
        <v>5</v>
      </c>
      <c r="C30" s="6">
        <v>5</v>
      </c>
      <c r="D30" s="6">
        <v>2</v>
      </c>
      <c r="E30" s="6">
        <v>2</v>
      </c>
      <c r="F30" s="6">
        <v>1</v>
      </c>
      <c r="G30" s="6">
        <v>0</v>
      </c>
      <c r="H30" s="6">
        <v>2</v>
      </c>
      <c r="I30" s="6">
        <v>0</v>
      </c>
      <c r="J30" s="6">
        <v>2</v>
      </c>
      <c r="K30" s="6">
        <v>2</v>
      </c>
    </row>
    <row r="31" spans="1:11" ht="12.75" dyDescent="0.2" customHeight="1">
      <c r="A31" s="5">
        <v>19</v>
      </c>
      <c r="B31" s="6">
        <v>4</v>
      </c>
      <c r="C31" s="6">
        <v>3</v>
      </c>
      <c r="D31" s="6">
        <v>1</v>
      </c>
      <c r="E31" s="6">
        <v>2</v>
      </c>
      <c r="F31" s="6">
        <v>2</v>
      </c>
      <c r="G31" s="6">
        <v>0</v>
      </c>
      <c r="H31" s="6">
        <v>3</v>
      </c>
      <c r="I31" s="6">
        <v>1</v>
      </c>
      <c r="J31" s="6">
        <v>2</v>
      </c>
      <c r="K31" s="6">
        <v>2</v>
      </c>
    </row>
    <row r="32" spans="1:11" ht="12.75" dyDescent="0.2" customHeight="1">
      <c r="A32" s="5">
        <v>20</v>
      </c>
      <c r="B32" s="6">
        <v>12</v>
      </c>
      <c r="C32" s="6">
        <v>6</v>
      </c>
      <c r="D32" s="6">
        <v>1</v>
      </c>
      <c r="E32" s="6">
        <v>2</v>
      </c>
      <c r="F32" s="6">
        <v>0</v>
      </c>
      <c r="G32" s="6">
        <v>0</v>
      </c>
      <c r="H32" s="6">
        <v>2</v>
      </c>
      <c r="I32" s="6">
        <v>1</v>
      </c>
      <c r="J32" s="6">
        <v>2</v>
      </c>
      <c r="K32" s="6">
        <v>0</v>
      </c>
    </row>
    <row r="33" spans="1:11" ht="12.75" dyDescent="0.2" customHeight="1">
      <c r="A33" s="5">
        <v>21</v>
      </c>
      <c r="B33" s="6">
        <v>8</v>
      </c>
      <c r="C33" s="6">
        <v>2</v>
      </c>
      <c r="D33" s="6">
        <v>3</v>
      </c>
      <c r="E33" s="6">
        <v>3</v>
      </c>
      <c r="F33" s="6">
        <v>0</v>
      </c>
      <c r="G33" s="6">
        <v>0</v>
      </c>
      <c r="H33" s="6">
        <v>3</v>
      </c>
      <c r="I33" s="6">
        <v>0</v>
      </c>
      <c r="J33" s="6">
        <v>2</v>
      </c>
      <c r="K33" s="6">
        <v>0</v>
      </c>
    </row>
    <row r="34" spans="1:11" ht="12.75" dyDescent="0.2" customHeight="1">
      <c r="A34" s="5">
        <v>22</v>
      </c>
      <c r="B34" s="6">
        <v>6</v>
      </c>
      <c r="C34" s="6">
        <v>5</v>
      </c>
      <c r="D34" s="6">
        <v>1</v>
      </c>
      <c r="E34" s="6">
        <v>4</v>
      </c>
      <c r="F34" s="6">
        <v>2</v>
      </c>
      <c r="G34" s="6">
        <v>0</v>
      </c>
      <c r="H34" s="6">
        <v>0</v>
      </c>
      <c r="I34" s="6">
        <v>0</v>
      </c>
      <c r="J34" s="6">
        <v>2</v>
      </c>
      <c r="K34" s="6">
        <v>2</v>
      </c>
    </row>
    <row r="35" spans="1:11" ht="12.75" dyDescent="0.2" customHeight="1">
      <c r="A35" s="5">
        <v>23</v>
      </c>
      <c r="B35" s="6">
        <v>4</v>
      </c>
      <c r="C35" s="6">
        <v>6</v>
      </c>
      <c r="D35" s="6">
        <v>5</v>
      </c>
      <c r="E35" s="6">
        <v>2</v>
      </c>
      <c r="F35" s="6">
        <v>0</v>
      </c>
      <c r="G35" s="6">
        <v>0</v>
      </c>
      <c r="H35" s="6">
        <v>1</v>
      </c>
      <c r="I35" s="6">
        <v>1</v>
      </c>
      <c r="J35" s="6">
        <v>3</v>
      </c>
      <c r="K35" s="6">
        <v>2</v>
      </c>
    </row>
    <row r="36" spans="1:11" ht="12.75" dyDescent="0.2" customHeight="1">
      <c r="A36" s="5">
        <v>24</v>
      </c>
      <c r="B36" s="6">
        <v>7</v>
      </c>
      <c r="C36" s="6">
        <v>3</v>
      </c>
      <c r="D36" s="6">
        <v>2</v>
      </c>
      <c r="E36" s="6">
        <v>2</v>
      </c>
      <c r="F36" s="6">
        <v>2</v>
      </c>
      <c r="G36" s="6">
        <v>0</v>
      </c>
      <c r="H36" s="6">
        <v>1</v>
      </c>
      <c r="I36" s="6">
        <v>1</v>
      </c>
      <c r="J36" s="6">
        <v>2</v>
      </c>
      <c r="K36" s="6">
        <v>2</v>
      </c>
    </row>
    <row r="37" spans="1:11" ht="12.75" dyDescent="0.2" customHeight="1">
      <c r="A37" s="5">
        <v>25</v>
      </c>
      <c r="B37" s="6">
        <v>7</v>
      </c>
      <c r="C37" s="6">
        <v>4</v>
      </c>
      <c r="D37" s="6">
        <v>2</v>
      </c>
      <c r="E37" s="6">
        <v>3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  <c r="K37" s="6">
        <v>2</v>
      </c>
    </row>
    <row r="38" spans="1:11" ht="12.75" dyDescent="0.2" customHeight="1">
      <c r="A38" s="5">
        <v>26</v>
      </c>
      <c r="B38" s="6">
        <v>5</v>
      </c>
      <c r="C38" s="6">
        <v>6</v>
      </c>
      <c r="D38" s="6">
        <v>2</v>
      </c>
      <c r="E38" s="6">
        <v>4</v>
      </c>
      <c r="F38" s="6">
        <v>0</v>
      </c>
      <c r="G38" s="6">
        <v>0</v>
      </c>
      <c r="H38" s="6">
        <v>1</v>
      </c>
      <c r="I38" s="6">
        <v>1</v>
      </c>
      <c r="J38" s="6">
        <v>2</v>
      </c>
      <c r="K38" s="6">
        <v>2</v>
      </c>
    </row>
    <row r="39" spans="1:11" ht="12.75" dyDescent="0.2" customHeight="1">
      <c r="A39" s="5">
        <v>27</v>
      </c>
      <c r="B39" s="6">
        <v>7</v>
      </c>
      <c r="C39" s="6">
        <v>3</v>
      </c>
      <c r="D39" s="6">
        <v>3</v>
      </c>
      <c r="E39" s="6">
        <v>2</v>
      </c>
      <c r="F39" s="6">
        <v>3</v>
      </c>
      <c r="G39" s="6">
        <v>0</v>
      </c>
      <c r="H39" s="6">
        <v>3</v>
      </c>
      <c r="I39" s="6">
        <v>0</v>
      </c>
      <c r="J39" s="6">
        <v>3</v>
      </c>
      <c r="K39" s="6">
        <v>0</v>
      </c>
    </row>
    <row r="40" spans="1:11" ht="12.75" dyDescent="0.2" customHeight="1">
      <c r="A40" s="5">
        <v>28</v>
      </c>
      <c r="B40" s="6">
        <v>6</v>
      </c>
      <c r="C40" s="6">
        <v>4</v>
      </c>
      <c r="D40" s="6">
        <v>1</v>
      </c>
      <c r="E40" s="6">
        <v>4</v>
      </c>
      <c r="F40" s="6">
        <v>2</v>
      </c>
      <c r="G40" s="6">
        <v>0</v>
      </c>
      <c r="H40" s="6">
        <v>2</v>
      </c>
      <c r="I40" s="6">
        <v>1</v>
      </c>
      <c r="J40" s="6">
        <v>2</v>
      </c>
      <c r="K40" s="6">
        <v>0</v>
      </c>
    </row>
    <row r="41" spans="1:11" ht="12.75" dyDescent="0.2" customHeight="1">
      <c r="A41" s="5">
        <v>29</v>
      </c>
      <c r="B41" s="6">
        <v>2</v>
      </c>
      <c r="C41" s="6">
        <v>2</v>
      </c>
      <c r="D41" s="6">
        <v>2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2</v>
      </c>
      <c r="K41" s="6">
        <v>0</v>
      </c>
    </row>
    <row r="42" spans="1:11" ht="12.75" dyDescent="0.2" customHeight="1">
      <c r="A42" s="5">
        <v>30</v>
      </c>
      <c r="B42" s="6">
        <v>8</v>
      </c>
      <c r="C42" s="6">
        <v>5</v>
      </c>
      <c r="D42" s="6">
        <v>3</v>
      </c>
      <c r="E42" s="6">
        <v>2</v>
      </c>
      <c r="F42" s="6">
        <v>0</v>
      </c>
      <c r="G42" s="6">
        <v>0</v>
      </c>
      <c r="H42" s="6">
        <v>2</v>
      </c>
      <c r="I42" s="6">
        <v>0</v>
      </c>
      <c r="J42" s="6">
        <v>2</v>
      </c>
      <c r="K42" s="6">
        <v>0</v>
      </c>
    </row>
    <row r="43" spans="1:11" ht="12.75" dyDescent="0.2" customHeight="1">
      <c r="A43" s="5">
        <v>31</v>
      </c>
      <c r="B43" s="6">
        <v>9</v>
      </c>
      <c r="C43" s="6">
        <v>4</v>
      </c>
      <c r="D43" s="6">
        <v>2</v>
      </c>
      <c r="E43" s="6">
        <v>2</v>
      </c>
      <c r="F43" s="6">
        <v>0</v>
      </c>
      <c r="G43" s="6">
        <v>0</v>
      </c>
      <c r="H43" s="6">
        <v>0</v>
      </c>
      <c r="I43" s="6">
        <v>1</v>
      </c>
      <c r="J43" s="6">
        <v>2</v>
      </c>
      <c r="K43" s="6">
        <v>0</v>
      </c>
    </row>
    <row r="44" spans="1:11" ht="12.75" dyDescent="0.2" customHeight="1">
      <c r="A44" s="5">
        <v>32</v>
      </c>
      <c r="B44" s="6">
        <v>5</v>
      </c>
      <c r="C44" s="6">
        <v>2</v>
      </c>
      <c r="D44" s="6">
        <v>2</v>
      </c>
      <c r="E44" s="6">
        <v>1</v>
      </c>
      <c r="F44" s="6">
        <v>1</v>
      </c>
      <c r="G44" s="6">
        <v>0</v>
      </c>
      <c r="H44" s="6">
        <v>0</v>
      </c>
      <c r="I44" s="6">
        <v>1</v>
      </c>
      <c r="J44" s="6">
        <v>1</v>
      </c>
      <c r="K44" s="6">
        <v>2</v>
      </c>
    </row>
    <row r="45" spans="1:11" ht="12.75" dyDescent="0.2" customHeight="1">
      <c r="A45" s="5">
        <v>33</v>
      </c>
      <c r="B45" s="6">
        <v>3</v>
      </c>
      <c r="C45" s="6">
        <v>3</v>
      </c>
      <c r="D45" s="6">
        <v>2</v>
      </c>
      <c r="E45" s="6">
        <v>2</v>
      </c>
      <c r="F45" s="6">
        <v>2</v>
      </c>
      <c r="G45" s="6">
        <v>0</v>
      </c>
      <c r="H45" s="6">
        <v>2</v>
      </c>
      <c r="I45" s="6">
        <v>0</v>
      </c>
      <c r="J45" s="6">
        <v>2</v>
      </c>
      <c r="K45" s="6">
        <v>0</v>
      </c>
    </row>
    <row r="46" spans="1:11" ht="12.75" dyDescent="0.2" customHeight="1">
      <c r="A46" s="5">
        <v>34</v>
      </c>
      <c r="B46" s="6">
        <v>6</v>
      </c>
      <c r="C46" s="6">
        <v>4</v>
      </c>
      <c r="D46" s="6">
        <v>4</v>
      </c>
      <c r="E46" s="6">
        <v>4</v>
      </c>
      <c r="F46" s="6">
        <v>0</v>
      </c>
      <c r="G46" s="6">
        <v>0</v>
      </c>
      <c r="H46" s="6">
        <v>4</v>
      </c>
      <c r="I46" s="6">
        <v>0</v>
      </c>
      <c r="J46" s="6">
        <v>2</v>
      </c>
      <c r="K46" s="6">
        <v>0</v>
      </c>
    </row>
    <row r="47" spans="1:11" ht="12.75" dyDescent="0.2" customHeight="1">
      <c r="A47" s="5">
        <v>35</v>
      </c>
      <c r="B47" s="6">
        <v>6</v>
      </c>
      <c r="C47" s="6">
        <v>4</v>
      </c>
      <c r="D47" s="6">
        <v>3</v>
      </c>
      <c r="E47" s="6">
        <v>2</v>
      </c>
      <c r="F47" s="6">
        <v>0</v>
      </c>
      <c r="G47" s="6">
        <v>0</v>
      </c>
      <c r="H47" s="6">
        <v>2</v>
      </c>
      <c r="I47" s="6">
        <v>0</v>
      </c>
      <c r="J47" s="6">
        <v>2</v>
      </c>
      <c r="K47" s="6">
        <v>0</v>
      </c>
    </row>
    <row r="48" spans="1:11" ht="12.75" dyDescent="0.2" customHeight="1">
      <c r="A48" s="5">
        <v>36</v>
      </c>
      <c r="B48" s="6">
        <v>4</v>
      </c>
      <c r="C48" s="6">
        <v>2</v>
      </c>
      <c r="D48" s="6">
        <v>2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ht="12.75" dyDescent="0.2" customHeight="1">
      <c r="A49" s="5">
        <v>37</v>
      </c>
      <c r="B49" s="6">
        <v>5</v>
      </c>
      <c r="C49" s="6">
        <v>5</v>
      </c>
      <c r="D49" s="6">
        <v>2</v>
      </c>
      <c r="E49" s="6">
        <v>3</v>
      </c>
      <c r="F49" s="6">
        <v>0</v>
      </c>
      <c r="G49" s="6">
        <v>0</v>
      </c>
      <c r="H49" s="6">
        <v>2</v>
      </c>
      <c r="I49" s="6">
        <v>1</v>
      </c>
      <c r="J49" s="6">
        <v>2</v>
      </c>
      <c r="K49" s="6">
        <v>0</v>
      </c>
    </row>
    <row r="50" spans="1:11" ht="12.75" dyDescent="0.2" customHeight="1">
      <c r="A50" t="s">
        <v>22</v>
      </c>
    </row>
    <row r="51" spans="1:11" ht="12.75" dyDescent="0.2" customHeight="1">
      <c r="A51" t="s" s="5">
        <v>23</v>
      </c>
      <c r="B51" t="s" s="5">
        <v>20</v>
      </c>
    </row>
    <row r="52" spans="1:11" ht="12.75" dyDescent="0.2" customHeight="1">
      <c r="A52" s="4">
        <v>1</v>
      </c>
      <c r="B52" s="4">
        <v>5</v>
      </c>
    </row>
    <row r="53" spans="1:11" ht="12.75" dyDescent="0.2" customHeight="1">
      <c r="A53" s="4">
        <v>2</v>
      </c>
      <c r="B53" s="4">
        <v>2</v>
      </c>
    </row>
    <row r="54" spans="1:11" ht="12.75" dyDescent="0.2" customHeight="1">
      <c r="A54" s="4">
        <v>3</v>
      </c>
      <c r="B54" s="4">
        <v>2</v>
      </c>
    </row>
    <row r="55" spans="1:11" ht="12.75" dyDescent="0.2" customHeight="1">
      <c r="A55" s="4">
        <v>4</v>
      </c>
      <c r="B55" s="4">
        <v>2</v>
      </c>
    </row>
    <row r="56" spans="1:11" dyDescent="0.2">
      <c r="A56" s="4">
        <v>5</v>
      </c>
      <c r="B56" s="4">
        <v>2</v>
      </c>
    </row>
    <row r="57" spans="1:11" dyDescent="0.2">
      <c r="A57" s="4">
        <v>6</v>
      </c>
      <c r="B57" s="4">
        <v>1</v>
      </c>
    </row>
    <row r="58" spans="1:11" dyDescent="0.2">
      <c r="A58" s="4">
        <v>7</v>
      </c>
      <c r="B58" s="4">
        <v>8</v>
      </c>
    </row>
    <row r="59" spans="1:11" dyDescent="0.2">
      <c r="A59" s="4">
        <v>8</v>
      </c>
      <c r="B59" s="4">
        <v>7</v>
      </c>
    </row>
    <row r="60" spans="1:11" dyDescent="0.2">
      <c r="A60" s="4">
        <v>9</v>
      </c>
      <c r="B60" s="4">
        <v>7</v>
      </c>
    </row>
    <row r="61" spans="1:11" dyDescent="0.2">
      <c r="A61" s="4">
        <v>10</v>
      </c>
      <c r="B61" s="4">
        <v>4</v>
      </c>
    </row>
    <row r="62" spans="1:11" dyDescent="0.2">
      <c r="A62" s="4">
        <v>11</v>
      </c>
      <c r="B62" s="4">
        <v>4</v>
      </c>
    </row>
    <row r="63" spans="1:11" dyDescent="0.2">
      <c r="A63" s="4">
        <v>12</v>
      </c>
      <c r="B63" s="4">
        <v>4</v>
      </c>
    </row>
    <row r="64" spans="1:11" dyDescent="0.2">
      <c r="A64" s="4">
        <v>13</v>
      </c>
      <c r="B64" s="4">
        <v>1</v>
      </c>
    </row>
    <row r="65" spans="1:11" dyDescent="0.2">
      <c r="A65" s="4">
        <v>14</v>
      </c>
      <c r="B65" s="4">
        <v>1</v>
      </c>
    </row>
    <row r="66" spans="1:11" dyDescent="0.2">
      <c r="A66" s="4">
        <v>15</v>
      </c>
      <c r="B66" s="4">
        <v>1</v>
      </c>
    </row>
    <row r="67" spans="1:11" dyDescent="0.2">
      <c r="A67" s="4">
        <v>16</v>
      </c>
      <c r="B67" s="4">
        <v>1</v>
      </c>
    </row>
    <row r="68" spans="1:11" dyDescent="0.2">
      <c r="A68" s="4">
        <v>17</v>
      </c>
      <c r="B68" s="4">
        <v>1</v>
      </c>
    </row>
    <row r="69" spans="1:11" dyDescent="0.2">
      <c r="A69" s="4">
        <v>18</v>
      </c>
      <c r="B69" s="4">
        <v>3</v>
      </c>
    </row>
    <row r="70" spans="1:11" dyDescent="0.2">
      <c r="A70" s="4">
        <v>19</v>
      </c>
      <c r="B70" s="4">
        <v>3</v>
      </c>
    </row>
    <row r="71" spans="1:11" dyDescent="0.2">
      <c r="A71" s="4">
        <v>20</v>
      </c>
      <c r="B71" s="4">
        <v>9</v>
      </c>
    </row>
    <row r="72" spans="1:11" dyDescent="0.2">
      <c r="A72" s="4">
        <v>21</v>
      </c>
      <c r="B72" s="4">
        <v>10</v>
      </c>
    </row>
    <row r="73" spans="1:11" dyDescent="0.2">
      <c r="A73" s="4">
        <v>22</v>
      </c>
      <c r="B73" s="4">
        <v>6</v>
      </c>
    </row>
    <row r="74" spans="1:11" dyDescent="0.2">
      <c r="A74" s="4">
        <v>23</v>
      </c>
      <c r="B74" s="4">
        <v>9</v>
      </c>
    </row>
  </sheetData>
  <mergeCells count="1">
    <mergeCell ref="B11:K1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3"/>
  <sheetViews>
    <sheetView zoomScale="120" zoomScaleNormal="120" workbookViewId="0">
      <selection activeCell="L59" sqref="L59"/>
    </sheetView>
  </sheetViews>
  <sheetFormatPr defaultColWidth="11.85546875" defaultRowHeight="12.75" x14ac:dyDescent="0.2"/>
  <cols>
    <col min="1" max="1" width="31.42578125" customWidth="1"/>
    <col min="3" max="3" width="10.5703125" customWidth="1"/>
    <col min="5" max="5" width="9.85546875" customWidth="1"/>
    <col min="6" max="14" width="6.5703125" customWidth="1"/>
  </cols>
  <sheetData>
    <row r="1" spans="1:12" ht="12.75" dyDescent="0.2" customHeight="1">
      <c r="A1" s="7"/>
      <c r="B1" s="8">
        <v>3</v>
      </c>
    </row>
    <row r="2" spans="1:12" ht="12.75" dyDescent="0.2" customHeight="1">
      <c r="A2">
        <v>2</v>
      </c>
    </row>
    <row r="3" spans="1:12" ht="12.75" dyDescent="0.2" customHeight="1">
      <c r="A3" s="7"/>
      <c r="B3" s="8">
        <v>2</v>
      </c>
      <c r="D3" s="56"/>
      <c r="E3" s="56"/>
      <c r="F3" s="56"/>
      <c r="G3" s="56"/>
      <c r="H3" s="56"/>
    </row>
    <row r="4" spans="1:12" ht="12.75" dyDescent="0.2" customHeight="1">
      <c r="A4" s="7"/>
      <c r="B4" s="8">
        <v>7</v>
      </c>
    </row>
    <row r="5" spans="1:12" ht="12.75" dyDescent="0.2" customHeight="1">
      <c r="A5" s="7"/>
      <c r="B5" s="8">
        <v>3</v>
      </c>
    </row>
    <row r="6" spans="1:12" ht="12.75" dyDescent="0.2" customHeight="1">
      <c r="A6" s="7"/>
      <c r="B6" s="8">
        <v>2</v>
      </c>
    </row>
    <row r="7" spans="1:12" ht="12.75" dyDescent="0.2" customHeight="1">
      <c r="A7" s="7"/>
      <c r="B7" s="8">
        <v>5</v>
      </c>
    </row>
    <row r="8" spans="1:12" ht="12.75" dyDescent="0.2" customHeight="1">
      <c r="A8" s="7"/>
      <c r="B8" s="8">
        <v>3</v>
      </c>
    </row>
    <row r="9" spans="1:12" ht="12.75" dyDescent="0.2" customHeight="1">
      <c r="A9" s="7"/>
      <c r="B9" s="8">
        <v>3</v>
      </c>
    </row>
    <row r="10" spans="1:12" ht="12.75" dyDescent="0.2" customHeight="1">
      <c r="A10" s="57"/>
      <c r="B10" s="57"/>
      <c r="C10" s="57"/>
    </row>
    <row r="11" spans="1:12" ht="12.75" dyDescent="0.2" customHeight="1">
      <c r="A11" s="9">
        <v>10</v>
      </c>
      <c r="B11" s="9">
        <v>50</v>
      </c>
      <c r="C11" s="9">
        <v>100</v>
      </c>
    </row>
    <row r="12" spans="1:12" ht="12.75" dyDescent="0.2" customHeight="1">
      <c r="A12" s="10"/>
      <c r="B12" s="2"/>
      <c r="C12" s="2"/>
    </row>
    <row r="13" spans="1:12" ht="12.75" dyDescent="0.2" customHeight="1">
      <c r="A13" s="11"/>
      <c r="B13" s="12">
        <v>100</v>
      </c>
      <c r="C13" s="12">
        <v>500</v>
      </c>
    </row>
    <row r="14" spans="1:12" ht="12.75" dyDescent="0.2" customHeight="1">
      <c r="A14" s="13"/>
      <c r="B14" s="58"/>
      <c r="C14" s="58"/>
      <c r="D14" s="58"/>
      <c r="E14" s="58"/>
    </row>
    <row r="15" spans="1:12" ht="12.75" dyDescent="0.2" customHeight="1">
      <c r="A15" s="3"/>
      <c r="B15" s="3"/>
      <c r="C15" s="3"/>
      <c r="D15" s="3"/>
      <c r="E15" s="3"/>
    </row>
    <row r="16" spans="1:12" ht="12.75" dyDescent="0.2" customHeight="1">
      <c r="A16" s="14">
        <v>1</v>
      </c>
      <c r="B16" s="14">
        <v>1000</v>
      </c>
      <c r="C16" s="14">
        <v>500</v>
      </c>
      <c r="D16" s="8">
        <v>5000</v>
      </c>
      <c r="E16" s="8">
        <v>900</v>
      </c>
      <c r="H16">
        <f>B16</f>
        <v>1000</v>
      </c>
      <c r="I16">
        <f>D16</f>
        <v>5000</v>
      </c>
      <c r="K16">
        <f>C16</f>
        <v>500</v>
      </c>
      <c r="L16">
        <f>E16</f>
        <v>900</v>
      </c>
    </row>
    <row r="17" spans="1:12" ht="12.75" dyDescent="0.2" customHeight="1">
      <c r="A17" s="14">
        <v>2</v>
      </c>
      <c r="B17" s="14">
        <v>3000</v>
      </c>
      <c r="C17" s="14">
        <v>750</v>
      </c>
      <c r="D17" s="8">
        <v>7500</v>
      </c>
      <c r="E17" s="8">
        <v>1100</v>
      </c>
      <c r="H17">
        <f>B17</f>
        <v>3000</v>
      </c>
      <c r="I17">
        <f>D17</f>
        <v>7500</v>
      </c>
      <c r="K17">
        <f>C17</f>
        <v>750</v>
      </c>
      <c r="L17">
        <f>E17</f>
        <v>1100</v>
      </c>
    </row>
    <row r="18" spans="1:12" ht="12.75" dyDescent="0.2" customHeight="1">
      <c r="A18" s="14">
        <v>3</v>
      </c>
      <c r="B18" s="14">
        <v>7000</v>
      </c>
      <c r="C18" s="14">
        <v>1000</v>
      </c>
      <c r="D18" s="8">
        <v>10000</v>
      </c>
      <c r="E18" s="8">
        <v>1250</v>
      </c>
      <c r="H18">
        <f>B18</f>
        <v>7000</v>
      </c>
      <c r="I18">
        <f>D18</f>
        <v>10000</v>
      </c>
      <c r="K18">
        <f>C18</f>
        <v>1000</v>
      </c>
      <c r="L18">
        <f>E18</f>
        <v>1250</v>
      </c>
    </row>
    <row r="19" spans="1:12" ht="12.75" dyDescent="0.2" customHeight="1">
      <c r="A19" s="14">
        <v>4</v>
      </c>
      <c r="B19" s="14">
        <v>10000</v>
      </c>
      <c r="C19" s="14">
        <v>1200</v>
      </c>
      <c r="D19" s="8">
        <v>15000</v>
      </c>
      <c r="E19" s="8">
        <v>1400</v>
      </c>
      <c r="H19">
        <f>B19</f>
        <v>10000</v>
      </c>
      <c r="I19">
        <f>D19</f>
        <v>15000</v>
      </c>
      <c r="K19">
        <f>C19</f>
        <v>1200</v>
      </c>
      <c r="L19">
        <f>E19</f>
        <v>1400</v>
      </c>
    </row>
    <row r="20" spans="1:12" ht="12.75" dyDescent="0.2" customHeight="1">
      <c r="A20" s="15">
        <v>5</v>
      </c>
      <c r="B20" s="15">
        <v>15000</v>
      </c>
      <c r="C20" s="15">
        <v>1350</v>
      </c>
      <c r="D20" s="16">
        <v>20000</v>
      </c>
      <c r="E20" s="16">
        <v>2000</v>
      </c>
      <c r="H20">
        <f>B20</f>
        <v>15000</v>
      </c>
      <c r="I20">
        <f>D20</f>
        <v>20000</v>
      </c>
      <c r="K20">
        <f>C20</f>
        <v>1350</v>
      </c>
      <c r="L20">
        <f>E20</f>
        <v>2000</v>
      </c>
    </row>
    <row r="21" spans="1:12" ht="12.75" dyDescent="0.2" customHeight="1">
      <c r="A21" s="17"/>
      <c r="B21" s="17">
        <v>1000</v>
      </c>
      <c r="C21" s="17"/>
      <c r="D21" s="8"/>
      <c r="E21" s="8"/>
    </row>
    <row r="22" spans="1:12" ht="12.75" dyDescent="0.2" customHeight="1">
      <c r="A22" s="3"/>
      <c r="B22" s="3"/>
      <c r="C22" s="3"/>
      <c r="D22" s="8"/>
      <c r="E22" s="8"/>
    </row>
    <row r="23" spans="1:12" ht="12.75" dyDescent="0.2" customHeight="1">
      <c r="A23" s="14">
        <v>1</v>
      </c>
      <c r="B23" s="14">
        <v>2000</v>
      </c>
      <c r="C23" s="14">
        <v>5000</v>
      </c>
      <c r="D23" s="8"/>
      <c r="E23" s="8"/>
    </row>
    <row r="24" spans="1:12" ht="12.75" dyDescent="0.2" customHeight="1">
      <c r="A24" s="14">
        <v>2</v>
      </c>
      <c r="B24" s="14">
        <v>5000</v>
      </c>
      <c r="C24" s="14">
        <v>7500</v>
      </c>
      <c r="D24" s="8"/>
      <c r="E24" s="8"/>
    </row>
    <row r="25" spans="1:12" ht="12.75" dyDescent="0.2" customHeight="1">
      <c r="A25" s="15">
        <v>3</v>
      </c>
      <c r="B25" s="15">
        <v>50000</v>
      </c>
      <c r="C25" s="15">
        <v>10000</v>
      </c>
      <c r="D25" s="8"/>
      <c r="E25" s="8"/>
    </row>
    <row r="26" spans="1:12" ht="12.75" dyDescent="0.2" customHeight="1">
      <c r="A26" s="17"/>
      <c r="B26" s="18">
        <v>500</v>
      </c>
      <c r="C26" s="19"/>
      <c r="D26" s="8"/>
      <c r="E26" s="8"/>
    </row>
    <row r="27" spans="1:12" ht="12.75" dyDescent="0.2" customHeight="1">
      <c r="A27" s="20"/>
      <c r="B27" s="20"/>
      <c r="C27" s="3"/>
      <c r="D27" s="8"/>
      <c r="E27" s="8"/>
    </row>
    <row r="28" spans="1:12" ht="12.75" dyDescent="0.2" customHeight="1">
      <c r="A28" s="14">
        <v>1</v>
      </c>
      <c r="B28" s="14">
        <v>2000</v>
      </c>
      <c r="C28" s="14">
        <v>5000</v>
      </c>
      <c r="D28" s="8"/>
      <c r="E28" s="8"/>
    </row>
    <row r="29" spans="1:12" ht="12.75" dyDescent="0.2" customHeight="1">
      <c r="A29" s="14">
        <v>2</v>
      </c>
      <c r="B29" s="14">
        <v>5000</v>
      </c>
      <c r="C29" s="14">
        <v>7500</v>
      </c>
      <c r="D29" s="8"/>
      <c r="E29" s="8"/>
    </row>
    <row r="30" spans="1:12" ht="12.75" dyDescent="0.2" customHeight="1">
      <c r="A30" s="14">
        <v>3</v>
      </c>
      <c r="B30" s="14">
        <v>50000</v>
      </c>
      <c r="C30" s="15">
        <v>10000</v>
      </c>
      <c r="D30" s="8"/>
      <c r="E30" s="8"/>
    </row>
    <row r="31" spans="1:12" ht="12.75" dyDescent="0.2" customHeight="1">
      <c r="A31" s="21"/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</row>
    <row r="32" spans="1:12" ht="12.75" dyDescent="0.2" customHeight="1">
      <c r="A32" s="14"/>
      <c r="B32" s="22">
        <v>1</v>
      </c>
      <c r="C32" s="22">
        <v>2</v>
      </c>
      <c r="D32" s="53"/>
      <c r="E32" s="53"/>
      <c r="F32" s="53"/>
      <c r="G32" s="53"/>
      <c r="H32" s="53"/>
      <c r="I32" s="53"/>
      <c r="J32" s="53"/>
      <c r="K32" s="53"/>
      <c r="L32" s="53"/>
    </row>
    <row r="33" spans="1:12" ht="12.75" dyDescent="0.2" customHeight="1">
      <c r="A33" s="15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</row>
    <row r="34" spans="1:12" ht="12.75" dyDescent="0.2" customHeight="1">
      <c r="A34" s="14">
        <v>1</v>
      </c>
      <c r="B34" s="22">
        <v>1</v>
      </c>
      <c r="C34" s="22">
        <v>0</v>
      </c>
      <c r="D34" s="25">
        <v>148</v>
      </c>
      <c r="E34" s="25">
        <v>413</v>
      </c>
      <c r="F34" s="25">
        <v>230</v>
      </c>
      <c r="G34" s="26">
        <v>378</v>
      </c>
      <c r="H34" s="26">
        <v>123</v>
      </c>
      <c r="I34" s="26">
        <v>467</v>
      </c>
      <c r="J34" s="25">
        <v>299</v>
      </c>
      <c r="K34" s="25">
        <v>168</v>
      </c>
      <c r="L34" s="25">
        <v>493</v>
      </c>
    </row>
    <row r="35" spans="1:12" ht="12.75" dyDescent="0.2" customHeight="1">
      <c r="A35" s="14">
        <v>2</v>
      </c>
      <c r="B35" s="22">
        <v>0</v>
      </c>
      <c r="C35" s="22">
        <v>2</v>
      </c>
      <c r="D35" s="25">
        <v>375</v>
      </c>
      <c r="E35" s="25">
        <v>264</v>
      </c>
      <c r="F35" s="25">
        <v>259</v>
      </c>
      <c r="G35" s="26">
        <v>412</v>
      </c>
      <c r="H35" s="26">
        <v>416</v>
      </c>
      <c r="I35" s="26">
        <v>468</v>
      </c>
      <c r="J35" s="25">
        <v>228</v>
      </c>
      <c r="K35" s="25">
        <v>247</v>
      </c>
      <c r="L35" s="25">
        <v>104</v>
      </c>
    </row>
    <row r="36" spans="1:12" ht="12.75" dyDescent="0.2" customHeight="1">
      <c r="A36" s="14">
        <v>3</v>
      </c>
      <c r="B36" s="22">
        <v>3</v>
      </c>
      <c r="C36" s="22">
        <v>4</v>
      </c>
      <c r="D36" s="25">
        <v>477</v>
      </c>
      <c r="E36" s="25">
        <v>299</v>
      </c>
      <c r="F36" s="25">
        <v>342</v>
      </c>
      <c r="G36" s="26">
        <v>315</v>
      </c>
      <c r="H36" s="26">
        <v>155</v>
      </c>
      <c r="I36" s="26">
        <v>172</v>
      </c>
      <c r="J36" s="25">
        <v>396</v>
      </c>
      <c r="K36" s="25">
        <v>295</v>
      </c>
      <c r="L36" s="25">
        <v>284</v>
      </c>
    </row>
    <row r="37" spans="1:12" ht="12.75" dyDescent="0.2" customHeight="1">
      <c r="A37" s="14">
        <v>4</v>
      </c>
      <c r="B37" s="22">
        <v>5</v>
      </c>
      <c r="C37" s="22">
        <v>0</v>
      </c>
      <c r="D37" s="25">
        <v>427</v>
      </c>
      <c r="E37" s="25">
        <v>317</v>
      </c>
      <c r="F37" s="25">
        <v>494</v>
      </c>
      <c r="G37" s="26">
        <v>157</v>
      </c>
      <c r="H37" s="26">
        <v>280</v>
      </c>
      <c r="I37" s="26">
        <v>499</v>
      </c>
      <c r="J37" s="25">
        <v>234</v>
      </c>
      <c r="K37" s="25">
        <v>337</v>
      </c>
      <c r="L37" s="25">
        <v>136</v>
      </c>
    </row>
    <row r="38" spans="1:12" ht="12.75" dyDescent="0.2" customHeight="1">
      <c r="A38" s="15">
        <v>5</v>
      </c>
      <c r="B38" s="23">
        <v>6</v>
      </c>
      <c r="C38" s="23">
        <v>7</v>
      </c>
      <c r="D38" s="27">
        <v>204</v>
      </c>
      <c r="E38" s="27">
        <v>294</v>
      </c>
      <c r="F38" s="27">
        <v>456</v>
      </c>
      <c r="G38" s="28">
        <v>339</v>
      </c>
      <c r="H38" s="28">
        <v>215</v>
      </c>
      <c r="I38" s="28">
        <v>451</v>
      </c>
      <c r="J38" s="27">
        <v>220</v>
      </c>
      <c r="K38" s="27">
        <v>148</v>
      </c>
      <c r="L38" s="27">
        <v>122</v>
      </c>
    </row>
    <row r="39" spans="1:12" ht="12.75" dyDescent="0.2" customHeight="1">
      <c r="A39" s="29"/>
      <c r="B39" s="54"/>
      <c r="C39" s="54"/>
      <c r="D39" s="54"/>
    </row>
    <row r="40" spans="1:12" ht="12.75" dyDescent="0.2" customHeight="1">
      <c r="A40" s="30"/>
      <c r="B40" s="31"/>
      <c r="C40" s="31"/>
      <c r="D40" s="31"/>
      <c r="E40" s="9"/>
    </row>
    <row r="41" spans="1:12" ht="12.75" dyDescent="0.2" customHeight="1">
      <c r="A41" s="32">
        <v>1</v>
      </c>
      <c r="B41" s="1">
        <f>_xlfn.FLOOR.MATH(SUM(D34:D38)/B4)</f>
        <v>233</v>
      </c>
      <c r="C41" s="1">
        <f>_xlfn.FLOOR.MATH(SUM(G34:G38)/B4)</f>
        <v>228</v>
      </c>
      <c r="D41" s="1">
        <f>_xlfn.FLOOR.MATH(SUM(J34:J38)/B4)</f>
        <v>196</v>
      </c>
      <c r="E41" s="9">
        <v>1</v>
      </c>
    </row>
    <row r="42" spans="1:12" ht="12.75" dyDescent="0.2" customHeight="1">
      <c r="A42" s="32">
        <v>2</v>
      </c>
      <c r="B42" s="1">
        <f t="shared" si="0" ref="B42:D47">B41</f>
        <v>233</v>
      </c>
      <c r="C42" s="1">
        <f t="shared" si="0"/>
        <v>228</v>
      </c>
      <c r="D42" s="1">
        <f t="shared" si="0"/>
        <v>196</v>
      </c>
      <c r="E42" s="9">
        <v>2</v>
      </c>
    </row>
    <row r="43" spans="1:12" ht="12.75" dyDescent="0.2" customHeight="1">
      <c r="A43" s="32">
        <v>3</v>
      </c>
      <c r="B43" s="1">
        <f t="shared" si="0"/>
        <v>233</v>
      </c>
      <c r="C43" s="1">
        <f t="shared" si="0"/>
        <v>228</v>
      </c>
      <c r="D43" s="1">
        <f t="shared" si="0"/>
        <v>196</v>
      </c>
      <c r="E43" s="9">
        <v>3</v>
      </c>
    </row>
    <row r="44" spans="1:12" ht="12.75" dyDescent="0.2" customHeight="1">
      <c r="A44" s="32">
        <v>4</v>
      </c>
      <c r="B44" s="1">
        <f t="shared" si="0"/>
        <v>233</v>
      </c>
      <c r="C44" s="1">
        <f t="shared" si="0"/>
        <v>228</v>
      </c>
      <c r="D44" s="1">
        <f t="shared" si="0"/>
        <v>196</v>
      </c>
      <c r="E44" s="9">
        <v>3</v>
      </c>
    </row>
    <row r="45" spans="1:12" ht="12.75" dyDescent="0.2" customHeight="1">
      <c r="A45" s="32">
        <v>5</v>
      </c>
      <c r="B45" s="1">
        <f t="shared" si="0"/>
        <v>233</v>
      </c>
      <c r="C45" s="1">
        <f t="shared" si="0"/>
        <v>228</v>
      </c>
      <c r="D45" s="1">
        <f t="shared" si="0"/>
        <v>196</v>
      </c>
      <c r="E45" s="9">
        <v>4</v>
      </c>
      <c r="F45" s="9"/>
      <c r="G45" s="9"/>
      <c r="H45" s="33"/>
      <c r="I45" s="33"/>
      <c r="J45" s="33"/>
      <c r="K45" s="33"/>
      <c r="L45" s="33"/>
    </row>
    <row r="46" spans="1:12" ht="12.75" dyDescent="0.2" customHeight="1">
      <c r="A46" s="32">
        <v>6</v>
      </c>
      <c r="B46" s="1">
        <f t="shared" si="0"/>
        <v>233</v>
      </c>
      <c r="C46" s="1">
        <f t="shared" si="0"/>
        <v>228</v>
      </c>
      <c r="D46" s="1">
        <f t="shared" si="0"/>
        <v>196</v>
      </c>
      <c r="E46" s="9">
        <v>5</v>
      </c>
      <c r="F46" s="9"/>
      <c r="G46" s="9"/>
    </row>
    <row r="47" spans="1:12" ht="12.75" dyDescent="0.2" customHeight="1">
      <c r="A47" s="32">
        <v>7</v>
      </c>
      <c r="B47" s="1">
        <f t="shared" si="0"/>
        <v>233</v>
      </c>
      <c r="C47" s="1">
        <f t="shared" si="0"/>
        <v>228</v>
      </c>
      <c r="D47" s="1">
        <f t="shared" si="0"/>
        <v>196</v>
      </c>
      <c r="E47" s="34">
        <v>5</v>
      </c>
      <c r="F47" s="34"/>
      <c r="G47" s="34"/>
    </row>
    <row r="49" spans="1:12" ht="12.75" dyDescent="0.2" customHeight="1">
      <c r="A49" s="35">
        <v>0</v>
      </c>
      <c r="B49" s="4">
        <v>1</v>
      </c>
      <c r="C49" s="4">
        <v>4</v>
      </c>
      <c r="D49" s="4">
        <v>5</v>
      </c>
      <c r="E49" s="4">
        <v>3</v>
      </c>
      <c r="F49" s="4">
        <v>6</v>
      </c>
      <c r="G49" s="36">
        <v>2</v>
      </c>
    </row>
    <row r="50" spans="1:12" ht="12.75" dyDescent="0.2" customHeight="1">
      <c r="A50" s="4">
        <v>1</v>
      </c>
      <c r="B50" s="35">
        <v>0</v>
      </c>
      <c r="C50" s="4">
        <v>2</v>
      </c>
      <c r="D50" s="4">
        <v>3</v>
      </c>
      <c r="E50" s="4">
        <v>1</v>
      </c>
      <c r="F50" s="4">
        <v>4</v>
      </c>
      <c r="G50" s="36">
        <v>3</v>
      </c>
    </row>
    <row r="51" spans="1:12" ht="12.75" dyDescent="0.2" customHeight="1">
      <c r="A51" s="4">
        <v>4</v>
      </c>
      <c r="B51" s="4">
        <v>2</v>
      </c>
      <c r="C51" s="35">
        <v>0</v>
      </c>
      <c r="D51" s="4">
        <v>4</v>
      </c>
      <c r="E51" s="4">
        <v>2</v>
      </c>
      <c r="F51" s="4">
        <v>5</v>
      </c>
      <c r="G51" s="36">
        <v>3</v>
      </c>
    </row>
    <row r="52" spans="1:12" ht="12.75" dyDescent="0.2" customHeight="1">
      <c r="A52" s="4">
        <v>5</v>
      </c>
      <c r="B52" s="4">
        <v>3</v>
      </c>
      <c r="C52" s="4">
        <v>4</v>
      </c>
      <c r="D52" s="35">
        <v>0</v>
      </c>
      <c r="E52" s="4">
        <v>2</v>
      </c>
      <c r="F52" s="4">
        <v>6</v>
      </c>
      <c r="G52" s="36">
        <v>7</v>
      </c>
    </row>
    <row r="53" spans="1:12" ht="12.75" dyDescent="0.2" customHeight="1">
      <c r="A53" s="4">
        <v>3</v>
      </c>
      <c r="B53" s="4">
        <v>1</v>
      </c>
      <c r="C53" s="4">
        <v>2</v>
      </c>
      <c r="D53" s="4">
        <v>2</v>
      </c>
      <c r="E53" s="35">
        <v>0</v>
      </c>
      <c r="F53" s="4">
        <v>2</v>
      </c>
      <c r="G53" s="36">
        <v>1</v>
      </c>
    </row>
    <row r="54" spans="1:12" ht="12.75" dyDescent="0.2" customHeight="1">
      <c r="A54" s="4">
        <v>6</v>
      </c>
      <c r="B54" s="4">
        <v>4</v>
      </c>
      <c r="C54" s="4">
        <v>5</v>
      </c>
      <c r="D54" s="4">
        <v>6</v>
      </c>
      <c r="E54" s="4">
        <v>2</v>
      </c>
      <c r="F54" s="35">
        <v>0</v>
      </c>
      <c r="G54" s="36">
        <v>1</v>
      </c>
    </row>
    <row r="55" spans="1:12" ht="12.75" dyDescent="0.2" customHeight="1">
      <c r="A55" s="36">
        <v>2</v>
      </c>
      <c r="B55" s="36">
        <v>3</v>
      </c>
      <c r="C55" s="36">
        <v>3</v>
      </c>
      <c r="D55" s="4">
        <v>7</v>
      </c>
      <c r="E55" s="4">
        <v>1</v>
      </c>
      <c r="F55" s="36">
        <v>1</v>
      </c>
      <c r="G55" s="37">
        <v>0</v>
      </c>
    </row>
    <row r="57" spans="1:12" ht="12.75" dyDescent="0.2" customHeight="1">
      <c r="A57" s="35">
        <v>0</v>
      </c>
      <c r="B57" s="4">
        <v>1</v>
      </c>
      <c r="C57" s="4">
        <v>4</v>
      </c>
      <c r="D57" s="4">
        <v>5</v>
      </c>
      <c r="E57" s="4">
        <v>3</v>
      </c>
      <c r="F57" s="4">
        <v>6</v>
      </c>
      <c r="G57" s="36">
        <v>2</v>
      </c>
    </row>
    <row r="58" spans="1:12" ht="12.75" dyDescent="0.2" customHeight="1">
      <c r="A58" s="4">
        <v>1</v>
      </c>
      <c r="B58" s="35">
        <v>0</v>
      </c>
      <c r="C58" s="4">
        <v>2</v>
      </c>
      <c r="D58" s="4">
        <v>3</v>
      </c>
      <c r="E58" s="4">
        <v>1</v>
      </c>
      <c r="F58" s="4">
        <v>4</v>
      </c>
      <c r="G58" s="36">
        <v>3</v>
      </c>
    </row>
    <row r="59" spans="1:12" ht="12.75" dyDescent="0.2" customHeight="1">
      <c r="A59" s="4">
        <v>4</v>
      </c>
      <c r="B59" s="4">
        <v>2</v>
      </c>
      <c r="C59" s="35">
        <v>0</v>
      </c>
      <c r="D59" s="4">
        <v>4</v>
      </c>
      <c r="E59" s="4">
        <v>2</v>
      </c>
      <c r="F59" s="4">
        <v>5</v>
      </c>
      <c r="G59" s="36">
        <v>3</v>
      </c>
    </row>
    <row r="60" spans="1:12" ht="12.75" dyDescent="0.2" customHeight="1">
      <c r="A60" s="4">
        <v>5</v>
      </c>
      <c r="B60" s="4">
        <v>3</v>
      </c>
      <c r="C60" s="4">
        <v>4</v>
      </c>
      <c r="D60" s="35">
        <v>0</v>
      </c>
      <c r="E60" s="4">
        <v>2</v>
      </c>
      <c r="F60" s="4">
        <v>6</v>
      </c>
      <c r="G60" s="36">
        <v>7</v>
      </c>
    </row>
    <row r="61" spans="1:12" ht="12.75" dyDescent="0.2" customHeight="1">
      <c r="A61" s="4">
        <v>3</v>
      </c>
      <c r="B61" s="4">
        <v>1</v>
      </c>
      <c r="C61" s="4">
        <v>2</v>
      </c>
      <c r="D61" s="4">
        <v>2</v>
      </c>
      <c r="E61" s="35">
        <v>0</v>
      </c>
      <c r="F61" s="4">
        <v>2</v>
      </c>
      <c r="G61" s="36">
        <v>1</v>
      </c>
    </row>
    <row r="62" spans="1:12" ht="12.75" dyDescent="0.2" customHeight="1">
      <c r="A62" s="4">
        <v>6</v>
      </c>
      <c r="B62" s="4">
        <v>4</v>
      </c>
      <c r="C62" s="4">
        <v>5</v>
      </c>
      <c r="D62" s="4">
        <v>6</v>
      </c>
      <c r="E62" s="4">
        <v>2</v>
      </c>
      <c r="F62" s="35">
        <v>0</v>
      </c>
      <c r="G62" s="36">
        <v>1</v>
      </c>
    </row>
    <row r="63" spans="1:12" ht="12.75" dyDescent="0.2" customHeight="1">
      <c r="A63" s="36">
        <v>2</v>
      </c>
      <c r="B63" s="36">
        <v>3</v>
      </c>
      <c r="C63" s="36">
        <v>3</v>
      </c>
      <c r="D63" s="4">
        <v>7</v>
      </c>
      <c r="E63" s="4">
        <v>1</v>
      </c>
      <c r="F63" s="36">
        <v>1</v>
      </c>
      <c r="G63" s="37">
        <v>0</v>
      </c>
    </row>
    <row r="65" spans="1:12" ht="12.75" dyDescent="0.2" customHeight="1">
      <c r="A65" s="4"/>
      <c r="B65" s="55"/>
      <c r="C65" s="55"/>
      <c r="D65" s="55"/>
    </row>
    <row r="66" spans="1:12" ht="12.75" dyDescent="0.2" customHeight="1">
      <c r="A66" s="38"/>
      <c r="B66" s="39"/>
      <c r="C66" s="39"/>
      <c r="D66" s="39"/>
    </row>
    <row r="67" spans="1:12" ht="12.75" dyDescent="0.2" customHeight="1">
      <c r="A67" s="4">
        <v>1</v>
      </c>
      <c r="B67" s="4">
        <v>0</v>
      </c>
      <c r="C67" s="4">
        <v>1</v>
      </c>
      <c r="D67" s="4">
        <v>4</v>
      </c>
    </row>
    <row r="68" spans="1:12" ht="12.75" dyDescent="0.2" customHeight="1">
      <c r="A68" s="4">
        <v>2</v>
      </c>
      <c r="B68" s="4">
        <v>1</v>
      </c>
      <c r="C68" s="4">
        <v>0</v>
      </c>
      <c r="D68" s="4">
        <v>2</v>
      </c>
    </row>
    <row r="69" spans="1:12" ht="12.75" dyDescent="0.2" customHeight="1">
      <c r="A69" s="4">
        <v>3</v>
      </c>
      <c r="B69" s="4">
        <v>0</v>
      </c>
      <c r="C69" s="4">
        <v>1</v>
      </c>
      <c r="D69" s="4">
        <v>4</v>
      </c>
    </row>
    <row r="70" spans="1:12" ht="12.75" dyDescent="0.2" customHeight="1">
      <c r="A70" s="4">
        <v>4</v>
      </c>
      <c r="B70" s="4">
        <v>1</v>
      </c>
      <c r="C70" s="4">
        <v>0</v>
      </c>
      <c r="D70" s="4">
        <v>2</v>
      </c>
    </row>
    <row r="71" spans="1:12" ht="12.75" dyDescent="0.2" customHeight="1">
      <c r="A71" s="4">
        <v>5</v>
      </c>
      <c r="B71" s="4">
        <v>0</v>
      </c>
      <c r="C71" s="4">
        <v>1</v>
      </c>
      <c r="D71" s="4">
        <v>4</v>
      </c>
    </row>
    <row r="72" spans="1:12" ht="12.75" dyDescent="0.2" customHeight="1">
      <c r="A72" s="4">
        <v>6</v>
      </c>
      <c r="B72" s="4">
        <v>0</v>
      </c>
      <c r="C72" s="4">
        <v>1</v>
      </c>
      <c r="D72" s="4">
        <v>4</v>
      </c>
    </row>
    <row r="73" spans="1:12" ht="12.75" dyDescent="0.2" customHeight="1">
      <c r="A73" s="4">
        <v>7</v>
      </c>
      <c r="B73" s="4">
        <v>1</v>
      </c>
      <c r="C73" s="4">
        <v>0</v>
      </c>
      <c r="D73" s="4">
        <v>2</v>
      </c>
    </row>
  </sheetData>
  <mergeCells count="11">
    <mergeCell ref="D3:H3"/>
    <mergeCell ref="A10:C10"/>
    <mergeCell ref="B14:C14"/>
    <mergeCell ref="D14:E14"/>
    <mergeCell ref="B31:C31"/>
    <mergeCell ref="D31:L31"/>
    <mergeCell ref="D32:F32"/>
    <mergeCell ref="G32:I32"/>
    <mergeCell ref="J32:L32"/>
    <mergeCell ref="B39:D39"/>
    <mergeCell ref="B65:D65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3"/>
  <sheetViews>
    <sheetView topLeftCell="A49" zoomScale="120" zoomScaleNormal="120" workbookViewId="0">
      <selection activeCell="B75" sqref="B75"/>
    </sheetView>
  </sheetViews>
  <sheetFormatPr defaultColWidth="11.85546875" defaultRowHeight="12.75" x14ac:dyDescent="0.2"/>
  <cols>
    <col min="1" max="1" width="31.42578125" customWidth="1"/>
    <col min="3" max="3" width="10.5703125" customWidth="1"/>
    <col min="5" max="5" width="9.85546875" customWidth="1"/>
    <col min="6" max="6" width="8.140625" customWidth="1"/>
    <col min="7" max="12" width="6.5703125" customWidth="1"/>
    <col min="13" max="18" width="6.140625" customWidth="1"/>
  </cols>
  <sheetData>
    <row r="1" spans="1:22" ht="12.75" dyDescent="0.2" customHeight="1">
      <c r="A1" s="7"/>
      <c r="B1" s="8">
        <v>5</v>
      </c>
    </row>
    <row r="2" spans="1:22" ht="12.75" dyDescent="0.2" customHeight="1">
      <c r="A2" s="7"/>
      <c r="B2" s="8">
        <v>5</v>
      </c>
    </row>
    <row r="3" spans="1:22" ht="12.75" dyDescent="0.2" customHeight="1">
      <c r="A3" s="7"/>
      <c r="B3" s="8">
        <v>2</v>
      </c>
      <c r="D3" s="56"/>
      <c r="E3" s="56"/>
      <c r="F3" s="56"/>
      <c r="G3" s="56"/>
      <c r="H3" s="56"/>
    </row>
    <row r="4" spans="1:22" ht="12.75" dyDescent="0.2" customHeight="1">
      <c r="A4" s="7"/>
      <c r="B4" s="8">
        <v>7</v>
      </c>
    </row>
    <row r="5" spans="1:22" ht="12.75" dyDescent="0.2" customHeight="1">
      <c r="A5" s="7"/>
      <c r="B5" s="8">
        <v>3</v>
      </c>
    </row>
    <row r="6" spans="1:22" ht="12.75" dyDescent="0.2" customHeight="1">
      <c r="A6" s="7"/>
      <c r="B6" s="8">
        <v>2</v>
      </c>
    </row>
    <row r="7" spans="1:22" ht="12.75" dyDescent="0.2" customHeight="1">
      <c r="A7" s="7"/>
      <c r="B7" s="8">
        <v>5</v>
      </c>
    </row>
    <row r="8" spans="1:22" ht="12.75" dyDescent="0.2" customHeight="1">
      <c r="A8" s="7"/>
      <c r="B8" s="8">
        <v>3</v>
      </c>
    </row>
    <row r="9" spans="1:22" ht="12.75" dyDescent="0.2" customHeight="1">
      <c r="A9" s="7"/>
      <c r="B9" s="8">
        <v>3</v>
      </c>
    </row>
    <row r="10" spans="1:22" ht="12.75" dyDescent="0.2" customHeight="1">
      <c r="A10" s="57"/>
      <c r="B10" s="57"/>
      <c r="C10" s="57"/>
      <c r="D10" s="40"/>
      <c r="E10" s="40"/>
    </row>
    <row r="11" spans="1:22" ht="12.75" dyDescent="0.2" customHeight="1">
      <c r="A11" s="41">
        <v>10</v>
      </c>
      <c r="B11" s="41">
        <v>20</v>
      </c>
      <c r="C11" s="41">
        <v>50</v>
      </c>
      <c r="D11" s="41">
        <v>100</v>
      </c>
      <c r="E11" s="41">
        <v>200</v>
      </c>
    </row>
    <row r="12" spans="1:22" ht="12.75" dyDescent="0.2" customHeight="1">
      <c r="A12" s="10"/>
      <c r="B12" s="2"/>
      <c r="C12" s="2"/>
    </row>
    <row r="13" spans="1:22" ht="12.75" dyDescent="0.2" customHeight="1">
      <c r="A13" s="11"/>
      <c r="B13" s="12">
        <v>1000</v>
      </c>
      <c r="C13" s="12">
        <v>5000</v>
      </c>
    </row>
    <row r="14" spans="1:22" ht="12.75" dyDescent="0.2" customHeight="1">
      <c r="A14" s="13"/>
      <c r="B14" s="58"/>
      <c r="C14" s="58"/>
      <c r="D14" s="58"/>
      <c r="E14" s="58"/>
    </row>
    <row r="15" spans="1:22" ht="12.75" dyDescent="0.2" customHeight="1">
      <c r="A15" s="3"/>
      <c r="B15" s="3"/>
      <c r="C15" s="3"/>
      <c r="D15" s="3"/>
      <c r="E15" s="3"/>
    </row>
    <row r="16" spans="1:22" ht="12.75" dyDescent="0.2" customHeight="1">
      <c r="A16" s="14">
        <v>1</v>
      </c>
      <c r="B16" s="14">
        <v>5000</v>
      </c>
      <c r="C16" s="14">
        <v>50</v>
      </c>
      <c r="D16" s="8">
        <v>10000</v>
      </c>
      <c r="E16" s="8">
        <v>70</v>
      </c>
      <c r="H16">
        <f>B16</f>
        <v>5000</v>
      </c>
      <c r="I16">
        <f>D16</f>
        <v>10000</v>
      </c>
      <c r="K16">
        <f>C16</f>
        <v>50</v>
      </c>
      <c r="L16">
        <f>E16</f>
        <v>70</v>
      </c>
    </row>
    <row r="17" spans="1:22" ht="12.75" dyDescent="0.2" customHeight="1">
      <c r="A17" s="14">
        <v>2</v>
      </c>
      <c r="B17" s="14">
        <v>15000</v>
      </c>
      <c r="C17" s="14">
        <v>120</v>
      </c>
      <c r="D17" s="8">
        <v>30000</v>
      </c>
      <c r="E17" s="8">
        <v>180</v>
      </c>
      <c r="H17">
        <f>B17</f>
        <v>15000</v>
      </c>
      <c r="I17">
        <f>D17</f>
        <v>30000</v>
      </c>
      <c r="K17">
        <f>C17</f>
        <v>120</v>
      </c>
      <c r="L17">
        <f>E17</f>
        <v>180</v>
      </c>
    </row>
    <row r="18" spans="1:22" ht="12.75" dyDescent="0.2" customHeight="1">
      <c r="A18" s="14">
        <v>3</v>
      </c>
      <c r="B18" s="14">
        <v>35000</v>
      </c>
      <c r="C18" s="14">
        <v>200</v>
      </c>
      <c r="D18" s="8">
        <v>50000</v>
      </c>
      <c r="E18" s="8">
        <v>280</v>
      </c>
      <c r="H18">
        <f>B18</f>
        <v>35000</v>
      </c>
      <c r="I18">
        <f>D18</f>
        <v>50000</v>
      </c>
      <c r="K18">
        <f>C18</f>
        <v>200</v>
      </c>
      <c r="L18">
        <f>E18</f>
        <v>280</v>
      </c>
    </row>
    <row r="19" spans="1:22" ht="12.75" dyDescent="0.2" customHeight="1">
      <c r="A19" s="14">
        <v>4</v>
      </c>
      <c r="B19" s="14">
        <v>100000</v>
      </c>
      <c r="C19" s="14">
        <v>500</v>
      </c>
      <c r="D19" s="8">
        <v>150000</v>
      </c>
      <c r="E19" s="8">
        <v>850</v>
      </c>
      <c r="H19">
        <f>B19</f>
        <v>100000</v>
      </c>
      <c r="I19">
        <f>D19</f>
        <v>150000</v>
      </c>
      <c r="K19">
        <f>C19</f>
        <v>500</v>
      </c>
      <c r="L19">
        <f>E19</f>
        <v>850</v>
      </c>
    </row>
    <row r="20" spans="1:22" ht="12.75" dyDescent="0.2" customHeight="1">
      <c r="A20" s="15">
        <v>5</v>
      </c>
      <c r="B20" s="15">
        <v>500000</v>
      </c>
      <c r="C20" s="15">
        <v>1000</v>
      </c>
      <c r="D20" s="16">
        <v>750000</v>
      </c>
      <c r="E20" s="16">
        <v>1650</v>
      </c>
      <c r="H20">
        <f>B20</f>
        <v>500000</v>
      </c>
      <c r="I20">
        <f>D20</f>
        <v>750000</v>
      </c>
      <c r="K20">
        <f>C20</f>
        <v>1000</v>
      </c>
      <c r="L20">
        <f>E20</f>
        <v>1650</v>
      </c>
    </row>
    <row r="21" spans="1:22" ht="12.75" dyDescent="0.2" customHeight="1">
      <c r="A21" s="17"/>
      <c r="B21" s="17">
        <v>1000</v>
      </c>
      <c r="C21" s="17"/>
      <c r="D21" s="8"/>
      <c r="E21" s="8"/>
    </row>
    <row r="22" spans="1:22" ht="12.75" dyDescent="0.2" customHeight="1">
      <c r="A22" s="3"/>
      <c r="B22" s="3"/>
      <c r="C22" s="3"/>
      <c r="D22" s="8"/>
      <c r="E22" s="8"/>
    </row>
    <row r="23" spans="1:22" ht="12.75" dyDescent="0.2" customHeight="1">
      <c r="A23" s="14">
        <v>1</v>
      </c>
      <c r="B23" s="14">
        <v>5000</v>
      </c>
      <c r="C23" s="14">
        <v>400</v>
      </c>
      <c r="D23" s="8"/>
      <c r="E23" s="8"/>
    </row>
    <row r="24" spans="1:22" ht="12.75" dyDescent="0.2" customHeight="1">
      <c r="A24" s="14">
        <v>2</v>
      </c>
      <c r="B24" s="14">
        <v>25000</v>
      </c>
      <c r="C24" s="14">
        <v>1600</v>
      </c>
      <c r="D24" s="8"/>
      <c r="E24" s="8"/>
    </row>
    <row r="25" spans="1:22" ht="12.75" dyDescent="0.2" customHeight="1">
      <c r="A25" s="15">
        <v>3</v>
      </c>
      <c r="B25" s="15">
        <v>100000</v>
      </c>
      <c r="C25" s="15">
        <v>5600</v>
      </c>
      <c r="D25" s="8"/>
      <c r="E25" s="8"/>
    </row>
    <row r="26" spans="1:22" ht="12.75" dyDescent="0.2" customHeight="1">
      <c r="A26" s="17"/>
      <c r="B26" s="18">
        <v>500</v>
      </c>
      <c r="C26" s="19"/>
      <c r="D26" s="8"/>
      <c r="E26" s="8"/>
    </row>
    <row r="27" spans="1:22" ht="12.75" dyDescent="0.2" customHeight="1">
      <c r="A27" s="20"/>
      <c r="B27" s="20"/>
      <c r="C27" s="3"/>
      <c r="D27" s="8"/>
      <c r="E27" s="8"/>
    </row>
    <row r="28" spans="1:22" ht="12.75" dyDescent="0.2" customHeight="1">
      <c r="A28" s="14">
        <v>1</v>
      </c>
      <c r="B28" s="14">
        <v>20000</v>
      </c>
      <c r="C28" s="14">
        <v>300</v>
      </c>
      <c r="D28" s="8"/>
      <c r="E28" s="8"/>
    </row>
    <row r="29" spans="1:22" ht="12.75" dyDescent="0.2" customHeight="1">
      <c r="A29" s="14">
        <v>2</v>
      </c>
      <c r="B29" s="14">
        <v>50000</v>
      </c>
      <c r="C29" s="14">
        <v>1300</v>
      </c>
      <c r="D29" s="8"/>
      <c r="E29" s="8"/>
    </row>
    <row r="30" spans="1:22" ht="12.75" dyDescent="0.2" customHeight="1">
      <c r="A30" s="14">
        <v>3</v>
      </c>
      <c r="B30" s="14">
        <v>200000</v>
      </c>
      <c r="C30" s="15">
        <v>4800</v>
      </c>
      <c r="D30" s="8"/>
      <c r="E30" s="8"/>
    </row>
    <row r="31" spans="1:22" ht="12.75" dyDescent="0.2" customHeight="1">
      <c r="A31" s="21"/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</row>
    <row r="32" spans="1:22" ht="12.75" dyDescent="0.2" customHeight="1">
      <c r="A32" s="14"/>
      <c r="B32" s="22">
        <v>1</v>
      </c>
      <c r="C32" s="22">
        <v>2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 spans="1:22" ht="12.75" dyDescent="0.2" customHeight="1">
      <c r="A33" s="15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22" ht="12.75" dyDescent="0.2" customHeight="1">
      <c r="A34" s="14">
        <v>1</v>
      </c>
      <c r="B34" s="22">
        <v>1</v>
      </c>
      <c r="C34" s="22">
        <v>0</v>
      </c>
      <c r="D34" s="25">
        <v>100</v>
      </c>
      <c r="E34" s="25">
        <v>90</v>
      </c>
      <c r="F34" s="25">
        <v>230</v>
      </c>
      <c r="G34" s="26">
        <v>69</v>
      </c>
      <c r="H34" s="26">
        <v>22</v>
      </c>
      <c r="I34" s="26">
        <v>85</v>
      </c>
      <c r="J34" s="25">
        <v>59</v>
      </c>
      <c r="K34" s="25">
        <v>34</v>
      </c>
      <c r="L34" s="25">
        <v>98</v>
      </c>
      <c r="M34" s="26">
        <v>63</v>
      </c>
      <c r="N34" s="26">
        <v>22</v>
      </c>
      <c r="O34" s="26">
        <v>73</v>
      </c>
      <c r="P34" s="25">
        <v>37</v>
      </c>
      <c r="Q34" s="25">
        <v>21</v>
      </c>
      <c r="R34" s="25">
        <v>50</v>
      </c>
      <c r="T34">
        <f t="shared" si="0" ref="T34:V38">P34*200</f>
        <v>7400</v>
      </c>
      <c r="U34">
        <f t="shared" si="0"/>
        <v>4200</v>
      </c>
      <c r="V34">
        <f t="shared" si="0"/>
        <v>10000</v>
      </c>
    </row>
    <row r="35" spans="1:22" ht="12.75" dyDescent="0.2" customHeight="1">
      <c r="A35" s="14">
        <v>2</v>
      </c>
      <c r="B35" s="22">
        <v>0</v>
      </c>
      <c r="C35" s="22">
        <v>2</v>
      </c>
      <c r="D35" s="25">
        <v>110</v>
      </c>
      <c r="E35" s="25">
        <v>88</v>
      </c>
      <c r="F35" s="25">
        <v>259</v>
      </c>
      <c r="G35" s="26">
        <v>75</v>
      </c>
      <c r="H35" s="26">
        <v>76</v>
      </c>
      <c r="I35" s="26">
        <v>85</v>
      </c>
      <c r="J35" s="25">
        <v>70</v>
      </c>
      <c r="K35" s="25">
        <v>70</v>
      </c>
      <c r="L35" s="25">
        <v>71</v>
      </c>
      <c r="M35" s="26">
        <v>45</v>
      </c>
      <c r="N35" s="26">
        <v>50</v>
      </c>
      <c r="O35" s="26">
        <v>20</v>
      </c>
      <c r="P35" s="25">
        <v>28</v>
      </c>
      <c r="Q35" s="25">
        <v>30</v>
      </c>
      <c r="R35" s="25">
        <v>13</v>
      </c>
      <c r="T35">
        <f t="shared" si="0"/>
        <v>5600</v>
      </c>
      <c r="U35">
        <f t="shared" si="0"/>
        <v>6000</v>
      </c>
      <c r="V35">
        <f t="shared" si="0"/>
        <v>2600</v>
      </c>
    </row>
    <row r="36" spans="1:22" ht="12.75" dyDescent="0.2" customHeight="1">
      <c r="A36" s="14">
        <v>3</v>
      </c>
      <c r="B36" s="22">
        <v>3</v>
      </c>
      <c r="C36" s="22">
        <v>4</v>
      </c>
      <c r="D36" s="25">
        <v>90</v>
      </c>
      <c r="E36" s="25">
        <v>79</v>
      </c>
      <c r="F36" s="25">
        <v>342</v>
      </c>
      <c r="G36" s="26">
        <v>57</v>
      </c>
      <c r="H36" s="26">
        <v>28</v>
      </c>
      <c r="I36" s="26">
        <v>31</v>
      </c>
      <c r="J36" s="25">
        <v>79</v>
      </c>
      <c r="K36" s="25">
        <v>59</v>
      </c>
      <c r="L36" s="25">
        <v>56</v>
      </c>
      <c r="M36" s="26">
        <v>62</v>
      </c>
      <c r="N36" s="26">
        <v>38</v>
      </c>
      <c r="O36" s="26">
        <v>29</v>
      </c>
      <c r="P36" s="25">
        <v>40</v>
      </c>
      <c r="Q36" s="25">
        <v>31</v>
      </c>
      <c r="R36" s="25">
        <v>35</v>
      </c>
      <c r="T36">
        <f t="shared" si="0"/>
        <v>8000</v>
      </c>
      <c r="U36">
        <f t="shared" si="0"/>
        <v>6200</v>
      </c>
      <c r="V36">
        <f t="shared" si="0"/>
        <v>7000</v>
      </c>
    </row>
    <row r="37" spans="1:22" ht="12.75" dyDescent="0.2" customHeight="1">
      <c r="A37" s="14">
        <v>4</v>
      </c>
      <c r="B37" s="22">
        <v>5</v>
      </c>
      <c r="C37" s="22">
        <v>0</v>
      </c>
      <c r="D37" s="25">
        <v>46</v>
      </c>
      <c r="E37" s="25">
        <v>59</v>
      </c>
      <c r="F37" s="25">
        <v>99</v>
      </c>
      <c r="G37" s="26">
        <v>29</v>
      </c>
      <c r="H37" s="26">
        <v>51</v>
      </c>
      <c r="I37" s="26">
        <v>91</v>
      </c>
      <c r="J37" s="25">
        <v>46</v>
      </c>
      <c r="K37" s="25">
        <v>65</v>
      </c>
      <c r="L37" s="25">
        <v>25</v>
      </c>
      <c r="M37" s="26">
        <v>27</v>
      </c>
      <c r="N37" s="26">
        <v>47</v>
      </c>
      <c r="O37" s="26">
        <v>83</v>
      </c>
      <c r="P37" s="25">
        <v>29</v>
      </c>
      <c r="Q37" s="25">
        <v>40</v>
      </c>
      <c r="R37" s="25">
        <v>17</v>
      </c>
      <c r="T37">
        <f t="shared" si="0"/>
        <v>5800</v>
      </c>
      <c r="U37">
        <f t="shared" si="0"/>
        <v>8000</v>
      </c>
      <c r="V37">
        <f t="shared" si="0"/>
        <v>3400</v>
      </c>
    </row>
    <row r="38" spans="1:22" ht="12.75" dyDescent="0.2" customHeight="1">
      <c r="A38" s="15">
        <v>5</v>
      </c>
      <c r="B38" s="23">
        <v>6</v>
      </c>
      <c r="C38" s="23">
        <v>7</v>
      </c>
      <c r="D38" s="27">
        <v>91</v>
      </c>
      <c r="E38" s="27">
        <v>101</v>
      </c>
      <c r="F38" s="27">
        <v>115</v>
      </c>
      <c r="G38" s="28">
        <v>62</v>
      </c>
      <c r="H38" s="28">
        <v>39</v>
      </c>
      <c r="I38" s="28">
        <v>82</v>
      </c>
      <c r="J38" s="27">
        <v>55</v>
      </c>
      <c r="K38" s="27">
        <v>33</v>
      </c>
      <c r="L38" s="27">
        <v>75</v>
      </c>
      <c r="M38" s="28">
        <v>44</v>
      </c>
      <c r="N38" s="28">
        <v>29</v>
      </c>
      <c r="O38" s="28">
        <v>25</v>
      </c>
      <c r="P38" s="27">
        <v>25</v>
      </c>
      <c r="Q38" s="27">
        <v>18</v>
      </c>
      <c r="R38" s="27">
        <v>14</v>
      </c>
      <c r="T38">
        <f t="shared" si="0"/>
        <v>5000</v>
      </c>
      <c r="U38">
        <f t="shared" si="0"/>
        <v>3600</v>
      </c>
      <c r="V38">
        <f t="shared" si="0"/>
        <v>2800</v>
      </c>
    </row>
    <row r="39" spans="1:22" ht="12.75" dyDescent="0.2" customHeight="1">
      <c r="A39" s="29"/>
      <c r="B39" s="54"/>
      <c r="C39" s="54"/>
      <c r="D39" s="54"/>
      <c r="E39" s="29"/>
      <c r="F39" s="29"/>
    </row>
    <row r="40" spans="1:22" ht="12.75" dyDescent="0.2" customHeight="1">
      <c r="A40" s="30"/>
      <c r="B40" s="31"/>
      <c r="C40" s="31"/>
      <c r="D40" s="31"/>
      <c r="E40" s="31"/>
      <c r="F40" s="31"/>
      <c r="G40" s="9"/>
    </row>
    <row r="41" spans="1:22" ht="12.75" dyDescent="0.2" customHeight="1">
      <c r="A41" s="32">
        <v>1</v>
      </c>
      <c r="B41" s="1">
        <f>_xlfn.FLOOR.MATH(SUM(D34:D38)/B4)</f>
        <v>62</v>
      </c>
      <c r="C41" s="1">
        <f>_xlfn.FLOOR.MATH(SUM(G34:G38)/B4)</f>
        <v>41</v>
      </c>
      <c r="D41" s="1">
        <f>_xlfn.FLOOR.MATH(SUM(J34:J38)/B4)</f>
        <v>44</v>
      </c>
      <c r="E41" s="1">
        <f>_xlfn.FLOOR.MATH(SUM(M34:M38)/B4)</f>
        <v>34</v>
      </c>
      <c r="F41" s="1">
        <f>_xlfn.FLOOR.MATH(SUM(P34:P38)/B4)</f>
        <v>22</v>
      </c>
      <c r="G41" s="9">
        <v>1</v>
      </c>
    </row>
    <row r="42" spans="1:22" ht="12.75" dyDescent="0.2" customHeight="1">
      <c r="A42" s="32">
        <v>2</v>
      </c>
      <c r="B42" s="1">
        <f t="shared" si="1" ref="B42:F47">B41</f>
        <v>62</v>
      </c>
      <c r="C42" s="1">
        <f t="shared" si="1"/>
        <v>41</v>
      </c>
      <c r="D42" s="1">
        <f t="shared" si="1"/>
        <v>44</v>
      </c>
      <c r="E42" s="1">
        <f t="shared" si="1"/>
        <v>34</v>
      </c>
      <c r="F42" s="1">
        <f t="shared" si="1"/>
        <v>22</v>
      </c>
      <c r="G42" s="9">
        <v>2</v>
      </c>
    </row>
    <row r="43" spans="1:22" ht="12.75" dyDescent="0.2" customHeight="1">
      <c r="A43" s="32">
        <v>3</v>
      </c>
      <c r="B43" s="1">
        <f t="shared" si="1"/>
        <v>62</v>
      </c>
      <c r="C43" s="1">
        <f t="shared" si="1"/>
        <v>41</v>
      </c>
      <c r="D43" s="1">
        <f t="shared" si="1"/>
        <v>44</v>
      </c>
      <c r="E43" s="1">
        <f t="shared" si="1"/>
        <v>34</v>
      </c>
      <c r="F43" s="1">
        <f t="shared" si="1"/>
        <v>22</v>
      </c>
      <c r="G43" s="9">
        <v>3</v>
      </c>
    </row>
    <row r="44" spans="1:22" ht="12.75" dyDescent="0.2" customHeight="1">
      <c r="A44" s="32">
        <v>4</v>
      </c>
      <c r="B44" s="1">
        <f t="shared" si="1"/>
        <v>62</v>
      </c>
      <c r="C44" s="1">
        <f t="shared" si="1"/>
        <v>41</v>
      </c>
      <c r="D44" s="1">
        <f t="shared" si="1"/>
        <v>44</v>
      </c>
      <c r="E44" s="1">
        <f t="shared" si="1"/>
        <v>34</v>
      </c>
      <c r="F44" s="1">
        <f t="shared" si="1"/>
        <v>22</v>
      </c>
      <c r="G44" s="9">
        <v>3</v>
      </c>
    </row>
    <row r="45" spans="1:22" ht="12.75" dyDescent="0.2" customHeight="1">
      <c r="A45" s="32">
        <v>5</v>
      </c>
      <c r="B45" s="1">
        <f t="shared" si="1"/>
        <v>62</v>
      </c>
      <c r="C45" s="1">
        <f t="shared" si="1"/>
        <v>41</v>
      </c>
      <c r="D45" s="1">
        <f t="shared" si="1"/>
        <v>44</v>
      </c>
      <c r="E45" s="1">
        <f t="shared" si="1"/>
        <v>34</v>
      </c>
      <c r="F45" s="1">
        <f t="shared" si="1"/>
        <v>22</v>
      </c>
      <c r="G45" s="9">
        <v>4</v>
      </c>
      <c r="H45" s="33"/>
      <c r="I45" s="33"/>
    </row>
    <row r="46" spans="1:22" ht="12.75" dyDescent="0.2" customHeight="1">
      <c r="A46" s="32">
        <v>6</v>
      </c>
      <c r="B46" s="1">
        <f t="shared" si="1"/>
        <v>62</v>
      </c>
      <c r="C46" s="1">
        <f t="shared" si="1"/>
        <v>41</v>
      </c>
      <c r="D46" s="1">
        <f t="shared" si="1"/>
        <v>44</v>
      </c>
      <c r="E46" s="1">
        <f t="shared" si="1"/>
        <v>34</v>
      </c>
      <c r="F46" s="1">
        <f t="shared" si="1"/>
        <v>22</v>
      </c>
      <c r="G46" s="9">
        <v>5</v>
      </c>
    </row>
    <row r="47" spans="1:22" ht="12.75" dyDescent="0.2" customHeight="1">
      <c r="A47" s="32">
        <v>7</v>
      </c>
      <c r="B47" s="1">
        <f t="shared" si="1"/>
        <v>62</v>
      </c>
      <c r="C47" s="1">
        <f t="shared" si="1"/>
        <v>41</v>
      </c>
      <c r="D47" s="1">
        <f t="shared" si="1"/>
        <v>44</v>
      </c>
      <c r="E47" s="1">
        <f t="shared" si="1"/>
        <v>34</v>
      </c>
      <c r="F47" s="1">
        <f t="shared" si="1"/>
        <v>22</v>
      </c>
      <c r="G47" s="34">
        <v>5</v>
      </c>
    </row>
    <row r="49" spans="1:22" ht="12.75" dyDescent="0.2" customHeight="1">
      <c r="A49" s="35">
        <v>0</v>
      </c>
      <c r="B49" s="4">
        <v>1</v>
      </c>
      <c r="C49" s="4">
        <v>4</v>
      </c>
      <c r="D49" s="4">
        <v>5</v>
      </c>
      <c r="E49" s="4">
        <v>3</v>
      </c>
      <c r="F49" s="4">
        <v>6</v>
      </c>
      <c r="G49" s="4">
        <v>2</v>
      </c>
    </row>
    <row r="50" spans="1:22" ht="12.75" dyDescent="0.2" customHeight="1">
      <c r="A50" s="4">
        <v>1</v>
      </c>
      <c r="B50" s="35">
        <v>0</v>
      </c>
      <c r="C50" s="4">
        <v>2</v>
      </c>
      <c r="D50" s="4">
        <v>3</v>
      </c>
      <c r="E50" s="4">
        <v>1</v>
      </c>
      <c r="F50" s="4">
        <v>4</v>
      </c>
      <c r="G50" s="4">
        <v>3</v>
      </c>
    </row>
    <row r="51" spans="1:22" ht="12.75" dyDescent="0.2" customHeight="1">
      <c r="A51" s="4">
        <v>4</v>
      </c>
      <c r="B51" s="4">
        <v>2</v>
      </c>
      <c r="C51" s="35">
        <v>0</v>
      </c>
      <c r="D51" s="4">
        <v>4</v>
      </c>
      <c r="E51" s="4">
        <v>2</v>
      </c>
      <c r="F51" s="4">
        <v>5</v>
      </c>
      <c r="G51" s="4">
        <v>3</v>
      </c>
    </row>
    <row r="52" spans="1:22" ht="12.75" dyDescent="0.2" customHeight="1">
      <c r="A52" s="4">
        <v>5</v>
      </c>
      <c r="B52" s="4">
        <v>3</v>
      </c>
      <c r="C52" s="4">
        <v>4</v>
      </c>
      <c r="D52" s="35">
        <v>0</v>
      </c>
      <c r="E52" s="4">
        <v>2</v>
      </c>
      <c r="F52" s="4">
        <v>6</v>
      </c>
      <c r="G52" s="4">
        <v>7</v>
      </c>
    </row>
    <row r="53" spans="1:22" ht="12.75" dyDescent="0.2" customHeight="1">
      <c r="A53" s="4">
        <v>3</v>
      </c>
      <c r="B53" s="4">
        <v>1</v>
      </c>
      <c r="C53" s="4">
        <v>2</v>
      </c>
      <c r="D53" s="4">
        <v>2</v>
      </c>
      <c r="E53" s="35">
        <v>0</v>
      </c>
      <c r="F53" s="4">
        <v>2</v>
      </c>
      <c r="G53" s="4">
        <v>1</v>
      </c>
    </row>
    <row r="54" spans="1:22" ht="12.75" dyDescent="0.2" customHeight="1">
      <c r="A54" s="4">
        <v>6</v>
      </c>
      <c r="B54" s="4">
        <v>4</v>
      </c>
      <c r="C54" s="4">
        <v>5</v>
      </c>
      <c r="D54" s="4">
        <v>6</v>
      </c>
      <c r="E54" s="4">
        <v>2</v>
      </c>
      <c r="F54" s="35">
        <v>0</v>
      </c>
      <c r="G54" s="4">
        <v>1</v>
      </c>
    </row>
    <row r="55" spans="1:22" ht="12.75" dyDescent="0.2" customHeight="1">
      <c r="A55" s="4">
        <v>2</v>
      </c>
      <c r="B55" s="4">
        <v>3</v>
      </c>
      <c r="C55" s="4">
        <v>3</v>
      </c>
      <c r="D55" s="4">
        <v>7</v>
      </c>
      <c r="E55" s="4">
        <v>1</v>
      </c>
      <c r="F55" s="4">
        <v>1</v>
      </c>
      <c r="G55" s="35">
        <v>0</v>
      </c>
    </row>
    <row r="57" spans="1:22" ht="12.75" dyDescent="0.2" customHeight="1">
      <c r="A57" s="35">
        <v>0</v>
      </c>
      <c r="B57" s="4">
        <v>1</v>
      </c>
      <c r="C57" s="4">
        <v>4</v>
      </c>
      <c r="D57" s="4">
        <v>5</v>
      </c>
      <c r="E57" s="4">
        <v>3</v>
      </c>
      <c r="F57" s="4">
        <v>6</v>
      </c>
      <c r="G57" s="4">
        <v>2</v>
      </c>
    </row>
    <row r="58" spans="1:22" ht="12.75" dyDescent="0.2" customHeight="1">
      <c r="A58" s="4">
        <v>1</v>
      </c>
      <c r="B58" s="35">
        <v>0</v>
      </c>
      <c r="C58" s="4">
        <v>2</v>
      </c>
      <c r="D58" s="4">
        <v>3</v>
      </c>
      <c r="E58" s="4">
        <v>1</v>
      </c>
      <c r="F58" s="4">
        <v>4</v>
      </c>
      <c r="G58" s="4">
        <v>3</v>
      </c>
    </row>
    <row r="59" spans="1:22" ht="12.75" dyDescent="0.2" customHeight="1">
      <c r="A59" s="4">
        <v>4</v>
      </c>
      <c r="B59" s="4">
        <v>2</v>
      </c>
      <c r="C59" s="35">
        <v>0</v>
      </c>
      <c r="D59" s="4">
        <v>4</v>
      </c>
      <c r="E59" s="4">
        <v>2</v>
      </c>
      <c r="F59" s="4">
        <v>5</v>
      </c>
      <c r="G59" s="4">
        <v>3</v>
      </c>
    </row>
    <row r="60" spans="1:22" ht="12.75" dyDescent="0.2" customHeight="1">
      <c r="A60" s="4">
        <v>5</v>
      </c>
      <c r="B60" s="4">
        <v>3</v>
      </c>
      <c r="C60" s="4">
        <v>4</v>
      </c>
      <c r="D60" s="35">
        <v>0</v>
      </c>
      <c r="E60" s="4">
        <v>2</v>
      </c>
      <c r="F60" s="4">
        <v>6</v>
      </c>
      <c r="G60" s="4">
        <v>7</v>
      </c>
    </row>
    <row r="61" spans="1:22" ht="12.75" dyDescent="0.2" customHeight="1">
      <c r="A61" s="4">
        <v>3</v>
      </c>
      <c r="B61" s="4">
        <v>1</v>
      </c>
      <c r="C61" s="4">
        <v>2</v>
      </c>
      <c r="D61" s="4">
        <v>2</v>
      </c>
      <c r="E61" s="35">
        <v>0</v>
      </c>
      <c r="F61" s="4">
        <v>2</v>
      </c>
      <c r="G61" s="4">
        <v>1</v>
      </c>
    </row>
    <row r="62" spans="1:22" ht="12.75" dyDescent="0.2" customHeight="1">
      <c r="A62" s="4">
        <v>6</v>
      </c>
      <c r="B62" s="4">
        <v>4</v>
      </c>
      <c r="C62" s="4">
        <v>5</v>
      </c>
      <c r="D62" s="4">
        <v>6</v>
      </c>
      <c r="E62" s="4">
        <v>2</v>
      </c>
      <c r="F62" s="35">
        <v>0</v>
      </c>
      <c r="G62" s="4">
        <v>1</v>
      </c>
    </row>
    <row r="63" spans="1:22" ht="12.75" dyDescent="0.2" customHeight="1">
      <c r="A63" s="4">
        <v>2</v>
      </c>
      <c r="B63" s="4">
        <v>3</v>
      </c>
      <c r="C63" s="4">
        <v>3</v>
      </c>
      <c r="D63" s="4">
        <v>7</v>
      </c>
      <c r="E63" s="4">
        <v>1</v>
      </c>
      <c r="F63" s="4">
        <v>1</v>
      </c>
      <c r="G63" s="35">
        <v>0</v>
      </c>
    </row>
    <row r="65" spans="1:22" ht="12.75" dyDescent="0.2" customHeight="1">
      <c r="A65" s="4"/>
      <c r="B65" s="55"/>
      <c r="C65" s="55"/>
      <c r="D65" s="55"/>
    </row>
    <row r="66" spans="1:22" ht="12.75" dyDescent="0.2" customHeight="1">
      <c r="A66" s="38"/>
      <c r="B66" s="42"/>
      <c r="C66" s="42"/>
      <c r="D66" s="42"/>
      <c r="E66" s="42"/>
      <c r="F66" s="42"/>
      <c r="G66" s="9"/>
    </row>
    <row r="67" spans="1:22" ht="12.75" dyDescent="0.2" customHeight="1">
      <c r="A67" s="4">
        <v>1</v>
      </c>
      <c r="B67" s="4">
        <v>1</v>
      </c>
      <c r="C67" s="4">
        <v>2</v>
      </c>
      <c r="D67" s="4">
        <v>4</v>
      </c>
      <c r="E67" s="4">
        <v>6</v>
      </c>
      <c r="F67" s="4">
        <v>11</v>
      </c>
      <c r="G67" s="9">
        <v>1</v>
      </c>
    </row>
    <row r="68" spans="1:22" ht="12.75" dyDescent="0.2" customHeight="1">
      <c r="A68" s="4">
        <v>2</v>
      </c>
      <c r="B68" s="4">
        <v>1</v>
      </c>
      <c r="C68" s="4">
        <v>2</v>
      </c>
      <c r="D68" s="4">
        <v>3</v>
      </c>
      <c r="E68" s="4">
        <v>6</v>
      </c>
      <c r="F68" s="4">
        <v>12</v>
      </c>
      <c r="G68" s="9">
        <v>2</v>
      </c>
    </row>
    <row r="69" spans="1:22" ht="12.75" dyDescent="0.2" customHeight="1">
      <c r="A69" s="4">
        <v>3</v>
      </c>
      <c r="B69" s="4">
        <v>1</v>
      </c>
      <c r="C69" s="4">
        <v>2</v>
      </c>
      <c r="D69" s="4">
        <v>4</v>
      </c>
      <c r="E69" s="4">
        <v>6</v>
      </c>
      <c r="F69" s="4">
        <v>11</v>
      </c>
      <c r="G69" s="9">
        <v>3</v>
      </c>
    </row>
    <row r="70" spans="1:22" ht="12.75" dyDescent="0.2" customHeight="1">
      <c r="A70" s="4">
        <v>4</v>
      </c>
      <c r="B70" s="4">
        <v>1</v>
      </c>
      <c r="C70" s="4">
        <v>2</v>
      </c>
      <c r="D70" s="4">
        <v>3</v>
      </c>
      <c r="E70" s="4">
        <v>6</v>
      </c>
      <c r="F70" s="4">
        <v>12</v>
      </c>
      <c r="G70" s="9">
        <v>3</v>
      </c>
    </row>
    <row r="71" spans="1:22" ht="12.75" dyDescent="0.2" customHeight="1">
      <c r="A71" s="4">
        <v>5</v>
      </c>
      <c r="B71" s="4">
        <v>1</v>
      </c>
      <c r="C71" s="4">
        <v>2</v>
      </c>
      <c r="D71" s="4">
        <v>4</v>
      </c>
      <c r="E71" s="4">
        <v>6</v>
      </c>
      <c r="F71" s="4">
        <v>11</v>
      </c>
      <c r="G71" s="9">
        <v>4</v>
      </c>
    </row>
    <row r="72" spans="1:22" ht="12.75" dyDescent="0.2" customHeight="1">
      <c r="A72" s="4">
        <v>6</v>
      </c>
      <c r="B72" s="4">
        <v>1</v>
      </c>
      <c r="C72" s="4">
        <v>2</v>
      </c>
      <c r="D72" s="4">
        <v>4</v>
      </c>
      <c r="E72" s="4">
        <v>6</v>
      </c>
      <c r="F72" s="4">
        <v>11</v>
      </c>
      <c r="G72" s="9">
        <v>5</v>
      </c>
    </row>
    <row r="73" spans="1:22" ht="12.75" dyDescent="0.2" customHeight="1">
      <c r="A73" s="4">
        <v>7</v>
      </c>
      <c r="B73" s="4">
        <v>1</v>
      </c>
      <c r="C73" s="4">
        <v>2</v>
      </c>
      <c r="D73" s="4">
        <v>3</v>
      </c>
      <c r="E73" s="4">
        <v>6</v>
      </c>
      <c r="F73" s="4">
        <v>12</v>
      </c>
      <c r="G73" s="34">
        <v>5</v>
      </c>
    </row>
  </sheetData>
  <mergeCells count="13">
    <mergeCell ref="M32:O32"/>
    <mergeCell ref="P32:R32"/>
    <mergeCell ref="D3:H3"/>
    <mergeCell ref="A10:C10"/>
    <mergeCell ref="B14:C14"/>
    <mergeCell ref="D14:E14"/>
    <mergeCell ref="B31:C31"/>
    <mergeCell ref="D31:L31"/>
    <mergeCell ref="B39:D39"/>
    <mergeCell ref="B65:D65"/>
    <mergeCell ref="D32:F32"/>
    <mergeCell ref="G32:I32"/>
    <mergeCell ref="J32:L3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85"/>
  <sheetViews>
    <sheetView zoomScale="120" zoomScaleNormal="120" workbookViewId="0"/>
  </sheetViews>
  <sheetFormatPr defaultColWidth="11.85546875" defaultRowHeight="12.75" x14ac:dyDescent="0.2"/>
  <cols>
    <col min="1" max="1" width="31.42578125" customWidth="1"/>
    <col min="2" max="2" width="15.28515625" customWidth="1"/>
    <col min="3" max="5" width="16.42578125" customWidth="1"/>
    <col min="6" max="6" width="15.28515625" customWidth="1"/>
    <col min="7" max="9" width="10.7109375" customWidth="1"/>
    <col min="11" max="12" width="10.7109375" customWidth="1"/>
    <col min="16" max="18" width="10.7109375" customWidth="1"/>
    <col min="37" max="42" width="15.28515625" customWidth="1"/>
    <col min="43" max="44" width="16.42578125" customWidth="1"/>
    <col min="45" max="45" width="15.28515625" customWidth="1"/>
    <col min="46" max="48" width="16.42578125" customWidth="1"/>
    <col min="49" max="51" width="15.28515625" customWidth="1"/>
  </cols>
  <sheetData>
    <row r="1" spans="1:34" ht="12.75" dyDescent="0.2" customHeight="1">
      <c r="A1" s="7"/>
      <c r="B1" s="8">
        <v>5</v>
      </c>
    </row>
    <row r="2" spans="1:34" ht="12.75" dyDescent="0.2" customHeight="1">
      <c r="A2" s="7"/>
      <c r="B2" s="8">
        <v>24</v>
      </c>
      <c r="J2" s="61"/>
      <c r="K2" s="61"/>
      <c r="L2" s="61"/>
      <c r="M2" s="61"/>
      <c r="N2" s="61"/>
      <c r="O2" s="61"/>
      <c r="P2" s="61"/>
      <c r="Q2" s="61"/>
    </row>
    <row r="3" spans="1:34" ht="12.75" dyDescent="0.2" customHeight="1">
      <c r="A3" s="7"/>
      <c r="B3" s="8">
        <v>2</v>
      </c>
      <c r="D3" s="56"/>
      <c r="E3" s="56"/>
      <c r="F3" s="56"/>
      <c r="G3" s="56"/>
      <c r="H3" s="56"/>
      <c r="J3" s="61"/>
      <c r="K3" s="61"/>
      <c r="L3" s="61"/>
      <c r="M3" s="61"/>
      <c r="N3" s="61"/>
      <c r="O3" s="61"/>
      <c r="P3" s="61"/>
      <c r="Q3" s="61"/>
    </row>
    <row r="4" spans="1:34" ht="12.75" dyDescent="0.2" customHeight="1">
      <c r="A4" s="7"/>
      <c r="B4" s="8">
        <v>30</v>
      </c>
      <c r="J4" s="61"/>
      <c r="K4" s="61"/>
      <c r="L4" s="61"/>
      <c r="M4" s="61"/>
      <c r="N4" s="61"/>
      <c r="O4" s="61"/>
      <c r="P4" s="61"/>
      <c r="Q4" s="61"/>
    </row>
    <row r="5" spans="1:34" ht="12.75" dyDescent="0.2" customHeight="1">
      <c r="A5" s="7"/>
      <c r="B5" s="8">
        <v>3</v>
      </c>
    </row>
    <row r="6" spans="1:34" ht="12.75" dyDescent="0.2" customHeight="1">
      <c r="A6" s="7"/>
      <c r="B6" s="8">
        <v>2</v>
      </c>
    </row>
    <row r="7" spans="1:34" ht="12.75" dyDescent="0.2" customHeight="1">
      <c r="A7" s="7"/>
      <c r="B7" s="8">
        <v>5</v>
      </c>
    </row>
    <row r="8" spans="1:34" ht="12.75" dyDescent="0.2" customHeight="1">
      <c r="A8" s="7"/>
      <c r="B8" s="8">
        <v>3</v>
      </c>
    </row>
    <row r="9" spans="1:34" ht="12.75" dyDescent="0.2" customHeight="1">
      <c r="A9" s="7"/>
      <c r="B9" s="8">
        <v>3</v>
      </c>
    </row>
    <row r="10" spans="1:34" ht="12.75" dyDescent="0.2" customHeight="1">
      <c r="A10" s="57"/>
      <c r="B10" s="57"/>
      <c r="C10" s="57"/>
      <c r="D10" s="40"/>
      <c r="E10" s="40"/>
    </row>
    <row r="11" spans="1:34" ht="12.75" dyDescent="0.2" customHeight="1">
      <c r="A11" s="41">
        <v>10</v>
      </c>
      <c r="B11" s="41">
        <v>20</v>
      </c>
      <c r="C11" s="41">
        <v>50</v>
      </c>
      <c r="D11" s="41">
        <v>100</v>
      </c>
      <c r="E11" s="41">
        <v>200</v>
      </c>
    </row>
    <row r="12" spans="1:34" ht="12.75" dyDescent="0.2" customHeight="1">
      <c r="A12" s="10"/>
      <c r="B12" s="2"/>
      <c r="C12" s="2"/>
    </row>
    <row r="13" spans="1:34" ht="12.75" dyDescent="0.2" customHeight="1">
      <c r="A13" s="11"/>
      <c r="B13" s="12">
        <v>1000</v>
      </c>
      <c r="C13" s="12">
        <v>2000</v>
      </c>
    </row>
    <row r="14" spans="1:34" ht="12.75" dyDescent="0.2" customHeight="1">
      <c r="A14" s="13"/>
      <c r="B14" s="58"/>
      <c r="C14" s="58"/>
      <c r="D14" s="58"/>
      <c r="E14" s="58"/>
    </row>
    <row r="15" spans="1:34" ht="12.75" dyDescent="0.2" customHeight="1">
      <c r="A15" s="3"/>
      <c r="B15" s="3"/>
      <c r="C15" s="3"/>
      <c r="D15" s="3"/>
      <c r="E15" s="3"/>
    </row>
    <row r="16" spans="1:34" ht="12.75" dyDescent="0.2" customHeight="1">
      <c r="A16" s="14">
        <v>1</v>
      </c>
      <c r="B16" s="14">
        <v>50000</v>
      </c>
      <c r="C16" s="14">
        <v>90</v>
      </c>
      <c r="D16" s="8">
        <v>50000</v>
      </c>
      <c r="E16" s="8">
        <v>200</v>
      </c>
    </row>
    <row r="17" spans="1:34" ht="12.75" dyDescent="0.2" customHeight="1">
      <c r="A17" s="14">
        <v>2</v>
      </c>
      <c r="B17" s="14">
        <v>120000</v>
      </c>
      <c r="C17" s="14">
        <v>100</v>
      </c>
      <c r="D17" s="8">
        <v>250000</v>
      </c>
      <c r="E17" s="8">
        <v>300</v>
      </c>
    </row>
    <row r="18" spans="1:34" ht="12.75" dyDescent="0.2" customHeight="1">
      <c r="A18" s="14">
        <v>3</v>
      </c>
      <c r="B18" s="14">
        <v>500000</v>
      </c>
      <c r="C18" s="14">
        <v>150</v>
      </c>
      <c r="D18" s="8">
        <v>500000</v>
      </c>
      <c r="E18" s="8">
        <v>500</v>
      </c>
    </row>
    <row r="19" spans="1:34" ht="12.75" dyDescent="0.2" customHeight="1">
      <c r="A19" s="14">
        <v>4</v>
      </c>
      <c r="B19" s="14">
        <v>900000</v>
      </c>
      <c r="C19" s="14">
        <v>300</v>
      </c>
      <c r="D19" s="8">
        <v>1000000</v>
      </c>
      <c r="E19" s="8">
        <v>639</v>
      </c>
    </row>
    <row r="20" spans="1:34" ht="12.75" dyDescent="0.2" customHeight="1">
      <c r="A20" s="15">
        <v>5</v>
      </c>
      <c r="B20" s="15">
        <v>50000000</v>
      </c>
      <c r="C20" s="15">
        <v>500</v>
      </c>
      <c r="D20" s="16">
        <v>100000000</v>
      </c>
      <c r="E20" s="16">
        <v>1000</v>
      </c>
    </row>
    <row r="21" spans="1:34" ht="12.75" dyDescent="0.2" customHeight="1">
      <c r="A21" s="17"/>
      <c r="B21" s="17">
        <v>1000</v>
      </c>
      <c r="C21" s="17"/>
      <c r="D21" s="8"/>
      <c r="E21" s="8"/>
    </row>
    <row r="22" spans="1:34" ht="12.75" dyDescent="0.2" customHeight="1">
      <c r="A22" s="3"/>
      <c r="B22" s="3"/>
      <c r="C22" s="3"/>
      <c r="D22" s="8"/>
      <c r="E22" s="8"/>
    </row>
    <row r="23" spans="1:34" ht="12.75" dyDescent="0.2" customHeight="1">
      <c r="A23" s="14">
        <v>1</v>
      </c>
      <c r="B23" s="14">
        <v>2000</v>
      </c>
      <c r="C23" s="14">
        <v>250</v>
      </c>
      <c r="D23" s="8"/>
      <c r="E23" s="8"/>
    </row>
    <row r="24" spans="1:34" ht="12.75" dyDescent="0.2" customHeight="1">
      <c r="A24" s="14">
        <v>2</v>
      </c>
      <c r="B24" s="14">
        <v>50000</v>
      </c>
      <c r="C24" s="14">
        <v>500</v>
      </c>
      <c r="D24" s="8"/>
      <c r="E24" s="8"/>
    </row>
    <row r="25" spans="1:34" ht="12.75" dyDescent="0.2" customHeight="1">
      <c r="A25" s="15">
        <v>3</v>
      </c>
      <c r="B25" s="15">
        <v>802000</v>
      </c>
      <c r="C25" s="15">
        <v>750</v>
      </c>
      <c r="D25" s="8"/>
      <c r="E25" s="8"/>
    </row>
    <row r="26" spans="1:34" ht="12.75" dyDescent="0.2" customHeight="1">
      <c r="A26" s="17"/>
      <c r="B26" s="18">
        <v>500</v>
      </c>
      <c r="C26" s="19"/>
      <c r="D26" s="8"/>
      <c r="E26" s="8"/>
    </row>
    <row r="27" spans="1:34" ht="12.75" dyDescent="0.2" customHeight="1">
      <c r="A27" s="20"/>
      <c r="B27" s="20"/>
      <c r="C27" s="3"/>
      <c r="D27" s="8"/>
      <c r="E27" s="8"/>
    </row>
    <row r="28" spans="1:34" ht="12.75" dyDescent="0.2" customHeight="1">
      <c r="A28" s="14">
        <v>1</v>
      </c>
      <c r="B28" s="14">
        <v>2000</v>
      </c>
      <c r="C28" s="14">
        <v>250</v>
      </c>
      <c r="D28" s="8"/>
      <c r="E28" s="8"/>
    </row>
    <row r="29" spans="1:34" ht="12.75" dyDescent="0.2" customHeight="1">
      <c r="A29" s="14">
        <v>2</v>
      </c>
      <c r="B29" s="14">
        <v>50000</v>
      </c>
      <c r="C29" s="14">
        <v>500</v>
      </c>
      <c r="D29" s="8"/>
      <c r="E29" s="8"/>
    </row>
    <row r="30" spans="1:34" ht="12.75" dyDescent="0.2" customHeight="1">
      <c r="A30" s="14">
        <v>3</v>
      </c>
      <c r="B30" s="15">
        <v>802000</v>
      </c>
      <c r="C30" s="15">
        <v>750</v>
      </c>
      <c r="D30" s="8"/>
      <c r="E30" s="8"/>
    </row>
    <row r="31" spans="1:34" ht="12.75" dyDescent="0.2" customHeight="1">
      <c r="A31" s="21"/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</row>
    <row r="32" spans="1:34" ht="12.75" dyDescent="0.2" customHeight="1">
      <c r="A32" s="14"/>
      <c r="B32" s="22">
        <v>1</v>
      </c>
      <c r="C32" s="22">
        <v>2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 spans="1:34" ht="12.75" dyDescent="0.2" customHeight="1">
      <c r="A33" s="15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34" ht="12.75" dyDescent="0.2" customHeight="1">
      <c r="A34" s="14">
        <v>1</v>
      </c>
      <c r="B34" s="22">
        <v>1</v>
      </c>
      <c r="C34" s="22">
        <v>0</v>
      </c>
      <c r="D34" s="43">
        <v>0</v>
      </c>
      <c r="E34" s="43">
        <v>0</v>
      </c>
      <c r="F34" s="43">
        <v>0</v>
      </c>
      <c r="G34" s="44">
        <v>0</v>
      </c>
      <c r="H34" s="44">
        <v>0</v>
      </c>
      <c r="I34" s="44">
        <v>0</v>
      </c>
      <c r="J34" s="43">
        <v>0</v>
      </c>
      <c r="K34" s="43">
        <v>0</v>
      </c>
      <c r="L34" s="43">
        <v>0</v>
      </c>
      <c r="M34" s="44">
        <v>0</v>
      </c>
      <c r="N34" s="44">
        <v>0</v>
      </c>
      <c r="O34" s="44">
        <v>0</v>
      </c>
      <c r="P34" s="43">
        <v>0</v>
      </c>
      <c r="Q34" s="43">
        <v>0</v>
      </c>
      <c r="R34" s="43">
        <v>0</v>
      </c>
      <c r="T34">
        <f t="shared" si="0" ref="T34:T57">IF(D34="",0,ROUND(D34,0))</f>
        <v>0</v>
      </c>
      <c r="U34">
        <f t="shared" si="1" ref="U34:U57">IF(E34="",0,ROUND(E34,0))</f>
        <v>0</v>
      </c>
      <c r="V34">
        <f t="shared" si="2" ref="V34:V57">IF(F34="",0,ROUND(F34,0))</f>
        <v>0</v>
      </c>
      <c r="W34">
        <f t="shared" si="3" ref="W34:W57">IF(G34="",0,ROUND(G34,0))</f>
        <v>0</v>
      </c>
      <c r="X34">
        <f t="shared" si="4" ref="X34:X57">IF(H34="",0,ROUND(H34,0))</f>
        <v>0</v>
      </c>
      <c r="Y34">
        <f t="shared" si="5" ref="Y34:Y57">IF(I34="",0,ROUND(I34,0))</f>
        <v>0</v>
      </c>
      <c r="Z34">
        <f t="shared" si="6" ref="Z34:Z57">IF(J34="",0,ROUND(J34,0))</f>
        <v>0</v>
      </c>
      <c r="AA34">
        <f t="shared" si="7" ref="AA34:AA57">IF(K34="",0,ROUND(K34,0))</f>
        <v>0</v>
      </c>
      <c r="AB34">
        <f t="shared" si="8" ref="AB34:AB57">IF(L34="",0,ROUND(L34,0))</f>
        <v>0</v>
      </c>
      <c r="AC34">
        <f t="shared" si="9" ref="AC34:AC57">IF(M34="",0,ROUND(M34,0))</f>
        <v>0</v>
      </c>
      <c r="AD34">
        <f t="shared" si="10" ref="AD34:AD57">IF(N34="",0,ROUND(N34,0))</f>
        <v>0</v>
      </c>
      <c r="AE34">
        <f t="shared" si="11" ref="AE34:AE57">IF(O34="",0,ROUND(O34,0))</f>
        <v>0</v>
      </c>
      <c r="AF34">
        <f t="shared" si="12" ref="AF34:AF57">IF(P34="",0,ROUND(P34,0))</f>
        <v>0</v>
      </c>
      <c r="AG34">
        <f t="shared" si="13" ref="AG34:AG57">IF(Q34="",0,ROUND(Q34,0))</f>
        <v>0</v>
      </c>
      <c r="AH34">
        <f t="shared" si="14" ref="AH34:AH57">IF(R34="",0,ROUND(R34,0))</f>
        <v>0</v>
      </c>
    </row>
    <row r="35" spans="1:34" ht="12.75" dyDescent="0.2" customHeight="1">
      <c r="A35" s="14">
        <v>2</v>
      </c>
      <c r="B35" s="22">
        <v>0</v>
      </c>
      <c r="C35" s="22">
        <v>2</v>
      </c>
      <c r="D35" s="43">
        <v>0</v>
      </c>
      <c r="E35" s="43">
        <v>0</v>
      </c>
      <c r="F35" s="43">
        <v>0</v>
      </c>
      <c r="G35" s="44">
        <v>625331</v>
      </c>
      <c r="H35" s="44">
        <v>319405</v>
      </c>
      <c r="I35" s="44">
        <v>138249</v>
      </c>
      <c r="J35" s="43">
        <v>307288</v>
      </c>
      <c r="K35" s="43">
        <v>156956</v>
      </c>
      <c r="L35" s="43">
        <v>38451</v>
      </c>
      <c r="M35" s="44">
        <v>5930672</v>
      </c>
      <c r="N35" s="44">
        <v>2594767</v>
      </c>
      <c r="O35" s="44">
        <v>1241693</v>
      </c>
      <c r="P35" s="43">
        <v>139676</v>
      </c>
      <c r="Q35" s="43">
        <v>71344</v>
      </c>
      <c r="R35" s="43">
        <v>17478</v>
      </c>
      <c r="T35">
        <f t="shared" si="0"/>
        <v>0</v>
      </c>
      <c r="U35">
        <f t="shared" si="1"/>
        <v>0</v>
      </c>
      <c r="V35">
        <f t="shared" si="2"/>
        <v>0</v>
      </c>
      <c r="W35">
        <f t="shared" si="3"/>
        <v>625331</v>
      </c>
      <c r="X35">
        <f t="shared" si="4"/>
        <v>319405</v>
      </c>
      <c r="Y35">
        <f t="shared" si="5"/>
        <v>138249</v>
      </c>
      <c r="Z35">
        <f t="shared" si="6"/>
        <v>307288</v>
      </c>
      <c r="AA35">
        <f t="shared" si="7"/>
        <v>156956</v>
      </c>
      <c r="AB35">
        <f t="shared" si="8"/>
        <v>38451</v>
      </c>
      <c r="AC35">
        <f t="shared" si="9"/>
        <v>5930672</v>
      </c>
      <c r="AD35">
        <f t="shared" si="10"/>
        <v>2594767</v>
      </c>
      <c r="AE35">
        <f t="shared" si="11"/>
        <v>1241693</v>
      </c>
      <c r="AF35">
        <f t="shared" si="12"/>
        <v>139676</v>
      </c>
      <c r="AG35">
        <f t="shared" si="13"/>
        <v>71344</v>
      </c>
      <c r="AH35">
        <f t="shared" si="14"/>
        <v>17478</v>
      </c>
    </row>
    <row r="36" spans="1:34" ht="12.75" dyDescent="0.2" customHeight="1">
      <c r="A36" s="14">
        <v>3</v>
      </c>
      <c r="B36" s="22">
        <v>0</v>
      </c>
      <c r="C36" s="22">
        <v>3</v>
      </c>
      <c r="D36" s="43">
        <v>459</v>
      </c>
      <c r="E36" s="43">
        <v>0</v>
      </c>
      <c r="F36" s="43">
        <v>0</v>
      </c>
      <c r="G36" s="44">
        <v>9177</v>
      </c>
      <c r="H36" s="44">
        <v>0</v>
      </c>
      <c r="I36" s="44">
        <v>0</v>
      </c>
      <c r="J36" s="43">
        <v>63321</v>
      </c>
      <c r="K36" s="43">
        <v>0</v>
      </c>
      <c r="L36" s="43">
        <v>0</v>
      </c>
      <c r="M36" s="44">
        <v>371897</v>
      </c>
      <c r="N36" s="44">
        <v>0</v>
      </c>
      <c r="O36" s="44">
        <v>0</v>
      </c>
      <c r="P36" s="43">
        <v>93146</v>
      </c>
      <c r="Q36" s="43">
        <v>0</v>
      </c>
      <c r="R36" s="43">
        <v>0</v>
      </c>
      <c r="T36">
        <f t="shared" si="0"/>
        <v>459</v>
      </c>
      <c r="U36">
        <f t="shared" si="1"/>
        <v>0</v>
      </c>
      <c r="V36">
        <f t="shared" si="2"/>
        <v>0</v>
      </c>
      <c r="W36">
        <f t="shared" si="3"/>
        <v>9177</v>
      </c>
      <c r="X36">
        <f t="shared" si="4"/>
        <v>0</v>
      </c>
      <c r="Y36">
        <f t="shared" si="5"/>
        <v>0</v>
      </c>
      <c r="Z36">
        <f t="shared" si="6"/>
        <v>63321</v>
      </c>
      <c r="AA36">
        <f t="shared" si="7"/>
        <v>0</v>
      </c>
      <c r="AB36">
        <f t="shared" si="8"/>
        <v>0</v>
      </c>
      <c r="AC36">
        <f t="shared" si="9"/>
        <v>371897</v>
      </c>
      <c r="AD36">
        <f t="shared" si="10"/>
        <v>0</v>
      </c>
      <c r="AE36">
        <f t="shared" si="11"/>
        <v>0</v>
      </c>
      <c r="AF36">
        <f t="shared" si="12"/>
        <v>93146</v>
      </c>
      <c r="AG36">
        <f t="shared" si="13"/>
        <v>0</v>
      </c>
      <c r="AH36">
        <f t="shared" si="14"/>
        <v>0</v>
      </c>
    </row>
    <row r="37" spans="1:34" ht="12.75" dyDescent="0.2" customHeight="1">
      <c r="A37" s="14">
        <v>4</v>
      </c>
      <c r="B37" s="22">
        <v>4</v>
      </c>
      <c r="C37" s="22">
        <v>0</v>
      </c>
      <c r="D37" s="43">
        <v>0</v>
      </c>
      <c r="E37" s="43">
        <v>0</v>
      </c>
      <c r="F37" s="43">
        <v>6720</v>
      </c>
      <c r="G37" s="44">
        <v>0</v>
      </c>
      <c r="H37" s="44">
        <v>0</v>
      </c>
      <c r="I37" s="44">
        <v>7480</v>
      </c>
      <c r="J37" s="43">
        <v>0</v>
      </c>
      <c r="K37" s="43">
        <v>200000</v>
      </c>
      <c r="L37" s="43">
        <v>100000</v>
      </c>
      <c r="M37" s="44">
        <v>0</v>
      </c>
      <c r="N37" s="44">
        <v>950000</v>
      </c>
      <c r="O37" s="44">
        <v>500000</v>
      </c>
      <c r="P37" s="43">
        <v>0</v>
      </c>
      <c r="Q37" s="43">
        <v>0</v>
      </c>
      <c r="R37" s="43">
        <v>0</v>
      </c>
      <c r="T37">
        <f t="shared" si="0"/>
        <v>0</v>
      </c>
      <c r="U37">
        <f t="shared" si="1"/>
        <v>0</v>
      </c>
      <c r="V37">
        <f t="shared" si="2"/>
        <v>6720</v>
      </c>
      <c r="W37">
        <f t="shared" si="3"/>
        <v>0</v>
      </c>
      <c r="X37">
        <f t="shared" si="4"/>
        <v>0</v>
      </c>
      <c r="Y37">
        <f t="shared" si="5"/>
        <v>7480</v>
      </c>
      <c r="Z37">
        <f t="shared" si="6"/>
        <v>0</v>
      </c>
      <c r="AA37">
        <f t="shared" si="7"/>
        <v>200000</v>
      </c>
      <c r="AB37">
        <f t="shared" si="8"/>
        <v>100000</v>
      </c>
      <c r="AC37">
        <f t="shared" si="9"/>
        <v>0</v>
      </c>
      <c r="AD37">
        <f t="shared" si="10"/>
        <v>950000</v>
      </c>
      <c r="AE37">
        <f t="shared" si="11"/>
        <v>500000</v>
      </c>
      <c r="AF37">
        <f t="shared" si="12"/>
        <v>0</v>
      </c>
      <c r="AG37">
        <f t="shared" si="13"/>
        <v>0</v>
      </c>
      <c r="AH37">
        <f t="shared" si="14"/>
        <v>0</v>
      </c>
    </row>
    <row r="38" spans="1:34" ht="12.75" dyDescent="0.2" customHeight="1">
      <c r="A38" s="15">
        <v>5</v>
      </c>
      <c r="B38" s="23">
        <v>5</v>
      </c>
      <c r="C38" s="23">
        <v>6</v>
      </c>
      <c r="D38" s="45">
        <v>114</v>
      </c>
      <c r="E38" s="45">
        <v>62</v>
      </c>
      <c r="F38" s="45">
        <v>35</v>
      </c>
      <c r="G38" s="46">
        <v>174045</v>
      </c>
      <c r="H38" s="46">
        <v>140209</v>
      </c>
      <c r="I38" s="46">
        <v>22695</v>
      </c>
      <c r="J38" s="45">
        <v>352840</v>
      </c>
      <c r="K38" s="45">
        <v>591605</v>
      </c>
      <c r="L38" s="45">
        <v>108148</v>
      </c>
      <c r="M38" s="46">
        <v>4833294</v>
      </c>
      <c r="N38" s="46">
        <v>4767065</v>
      </c>
      <c r="O38" s="46">
        <v>715173</v>
      </c>
      <c r="P38" s="45">
        <v>496746</v>
      </c>
      <c r="Q38" s="45">
        <v>52537</v>
      </c>
      <c r="R38" s="45">
        <v>29654</v>
      </c>
      <c r="T38">
        <f t="shared" si="0"/>
        <v>114</v>
      </c>
      <c r="U38">
        <f t="shared" si="1"/>
        <v>62</v>
      </c>
      <c r="V38">
        <f t="shared" si="2"/>
        <v>35</v>
      </c>
      <c r="W38">
        <f t="shared" si="3"/>
        <v>174045</v>
      </c>
      <c r="X38">
        <f t="shared" si="4"/>
        <v>140209</v>
      </c>
      <c r="Y38">
        <f t="shared" si="5"/>
        <v>22695</v>
      </c>
      <c r="Z38">
        <f t="shared" si="6"/>
        <v>352840</v>
      </c>
      <c r="AA38">
        <f t="shared" si="7"/>
        <v>591605</v>
      </c>
      <c r="AB38">
        <f t="shared" si="8"/>
        <v>108148</v>
      </c>
      <c r="AC38">
        <f t="shared" si="9"/>
        <v>4833294</v>
      </c>
      <c r="AD38">
        <f t="shared" si="10"/>
        <v>4767065</v>
      </c>
      <c r="AE38">
        <f t="shared" si="11"/>
        <v>715173</v>
      </c>
      <c r="AF38">
        <f t="shared" si="12"/>
        <v>496746</v>
      </c>
      <c r="AG38">
        <f t="shared" si="13"/>
        <v>52537</v>
      </c>
      <c r="AH38">
        <f t="shared" si="14"/>
        <v>29654</v>
      </c>
    </row>
    <row r="39" spans="1:34" ht="12.75" dyDescent="0.2" customHeight="1">
      <c r="A39" s="14">
        <v>6</v>
      </c>
      <c r="B39" s="22">
        <v>7</v>
      </c>
      <c r="C39" s="22">
        <v>8</v>
      </c>
      <c r="D39" s="43">
        <v>0</v>
      </c>
      <c r="E39" s="43">
        <v>0</v>
      </c>
      <c r="F39" s="43">
        <v>0</v>
      </c>
      <c r="G39" s="44">
        <v>0</v>
      </c>
      <c r="H39" s="44">
        <v>0</v>
      </c>
      <c r="I39" s="44">
        <v>0</v>
      </c>
      <c r="J39" s="43">
        <v>0</v>
      </c>
      <c r="K39" s="43">
        <v>0</v>
      </c>
      <c r="L39" s="43">
        <v>0</v>
      </c>
      <c r="M39" s="44">
        <v>1728000</v>
      </c>
      <c r="N39" s="44">
        <v>1014000</v>
      </c>
      <c r="O39" s="44">
        <v>876000</v>
      </c>
      <c r="P39" s="43">
        <v>0</v>
      </c>
      <c r="Q39" s="43">
        <v>0</v>
      </c>
      <c r="R39" s="43">
        <v>0</v>
      </c>
      <c r="T39">
        <f t="shared" si="0"/>
        <v>0</v>
      </c>
      <c r="U39">
        <f t="shared" si="1"/>
        <v>0</v>
      </c>
      <c r="V39">
        <f t="shared" si="2"/>
        <v>0</v>
      </c>
      <c r="W39">
        <f t="shared" si="3"/>
        <v>0</v>
      </c>
      <c r="X39">
        <f t="shared" si="4"/>
        <v>0</v>
      </c>
      <c r="Y39">
        <f t="shared" si="5"/>
        <v>0</v>
      </c>
      <c r="Z39">
        <f t="shared" si="6"/>
        <v>0</v>
      </c>
      <c r="AA39">
        <f t="shared" si="7"/>
        <v>0</v>
      </c>
      <c r="AB39">
        <f t="shared" si="8"/>
        <v>0</v>
      </c>
      <c r="AC39">
        <f t="shared" si="9"/>
        <v>1728000</v>
      </c>
      <c r="AD39">
        <f t="shared" si="10"/>
        <v>1014000</v>
      </c>
      <c r="AE39">
        <f t="shared" si="11"/>
        <v>876000</v>
      </c>
      <c r="AF39">
        <f t="shared" si="12"/>
        <v>0</v>
      </c>
      <c r="AG39">
        <f t="shared" si="13"/>
        <v>0</v>
      </c>
      <c r="AH39">
        <f t="shared" si="14"/>
        <v>0</v>
      </c>
    </row>
    <row r="40" spans="1:34" ht="12.75" dyDescent="0.2" customHeight="1">
      <c r="A40" s="15">
        <v>7</v>
      </c>
      <c r="B40" s="22">
        <v>0</v>
      </c>
      <c r="C40" s="22">
        <v>9</v>
      </c>
      <c r="D40" s="43">
        <v>15543</v>
      </c>
      <c r="E40" s="43">
        <v>10980</v>
      </c>
      <c r="F40" s="43">
        <v>6355</v>
      </c>
      <c r="G40" s="44">
        <v>24177</v>
      </c>
      <c r="H40" s="44">
        <v>17080</v>
      </c>
      <c r="I40" s="44">
        <v>9885</v>
      </c>
      <c r="J40" s="43">
        <v>129522</v>
      </c>
      <c r="K40" s="43">
        <v>91501</v>
      </c>
      <c r="L40" s="43">
        <v>52958</v>
      </c>
      <c r="M40" s="44">
        <v>2296856</v>
      </c>
      <c r="N40" s="44">
        <v>1622618</v>
      </c>
      <c r="O40" s="44">
        <v>939118</v>
      </c>
      <c r="P40" s="43">
        <v>0</v>
      </c>
      <c r="Q40" s="43">
        <v>0</v>
      </c>
      <c r="R40" s="43">
        <v>0</v>
      </c>
      <c r="T40">
        <f t="shared" si="0"/>
        <v>15543</v>
      </c>
      <c r="U40">
        <f t="shared" si="1"/>
        <v>10980</v>
      </c>
      <c r="V40">
        <f t="shared" si="2"/>
        <v>6355</v>
      </c>
      <c r="W40">
        <f t="shared" si="3"/>
        <v>24177</v>
      </c>
      <c r="X40">
        <f t="shared" si="4"/>
        <v>17080</v>
      </c>
      <c r="Y40">
        <f t="shared" si="5"/>
        <v>9885</v>
      </c>
      <c r="Z40">
        <f t="shared" si="6"/>
        <v>129522</v>
      </c>
      <c r="AA40">
        <f t="shared" si="7"/>
        <v>91501</v>
      </c>
      <c r="AB40">
        <f t="shared" si="8"/>
        <v>52958</v>
      </c>
      <c r="AC40">
        <f t="shared" si="9"/>
        <v>2296856</v>
      </c>
      <c r="AD40">
        <f t="shared" si="10"/>
        <v>1622618</v>
      </c>
      <c r="AE40">
        <f t="shared" si="11"/>
        <v>939118</v>
      </c>
      <c r="AF40">
        <f t="shared" si="12"/>
        <v>0</v>
      </c>
      <c r="AG40">
        <f t="shared" si="13"/>
        <v>0</v>
      </c>
      <c r="AH40">
        <f t="shared" si="14"/>
        <v>0</v>
      </c>
    </row>
    <row r="41" spans="1:34" ht="12.75" dyDescent="0.2" customHeight="1">
      <c r="A41" s="14">
        <v>8</v>
      </c>
      <c r="B41" s="22">
        <v>10</v>
      </c>
      <c r="C41" s="22">
        <v>11</v>
      </c>
      <c r="D41" s="43">
        <v>46693</v>
      </c>
      <c r="E41" s="43">
        <v>47118</v>
      </c>
      <c r="F41" s="43">
        <v>4920</v>
      </c>
      <c r="G41" s="44">
        <v>51494</v>
      </c>
      <c r="H41" s="44">
        <v>58638</v>
      </c>
      <c r="I41" s="44">
        <v>0</v>
      </c>
      <c r="J41" s="43">
        <v>26398</v>
      </c>
      <c r="K41" s="43">
        <v>30060</v>
      </c>
      <c r="L41" s="43">
        <v>0</v>
      </c>
      <c r="M41" s="44">
        <v>597717</v>
      </c>
      <c r="N41" s="44">
        <v>680633</v>
      </c>
      <c r="O41" s="44">
        <v>7800</v>
      </c>
      <c r="P41" s="43">
        <v>90706</v>
      </c>
      <c r="Q41" s="43">
        <v>103289</v>
      </c>
      <c r="R41" s="43">
        <v>0</v>
      </c>
      <c r="T41">
        <f t="shared" si="0"/>
        <v>46693</v>
      </c>
      <c r="U41">
        <f t="shared" si="1"/>
        <v>47118</v>
      </c>
      <c r="V41">
        <f t="shared" si="2"/>
        <v>4920</v>
      </c>
      <c r="W41">
        <f t="shared" si="3"/>
        <v>51494</v>
      </c>
      <c r="X41">
        <f t="shared" si="4"/>
        <v>58638</v>
      </c>
      <c r="Y41">
        <f t="shared" si="5"/>
        <v>0</v>
      </c>
      <c r="Z41">
        <f t="shared" si="6"/>
        <v>26398</v>
      </c>
      <c r="AA41">
        <f t="shared" si="7"/>
        <v>30060</v>
      </c>
      <c r="AB41">
        <f t="shared" si="8"/>
        <v>0</v>
      </c>
      <c r="AC41">
        <f t="shared" si="9"/>
        <v>597717</v>
      </c>
      <c r="AD41">
        <f t="shared" si="10"/>
        <v>680633</v>
      </c>
      <c r="AE41">
        <f t="shared" si="11"/>
        <v>7800</v>
      </c>
      <c r="AF41">
        <f t="shared" si="12"/>
        <v>90706</v>
      </c>
      <c r="AG41">
        <f t="shared" si="13"/>
        <v>103289</v>
      </c>
      <c r="AH41">
        <f t="shared" si="14"/>
        <v>0</v>
      </c>
    </row>
    <row r="42" spans="1:34" ht="12.75" dyDescent="0.2" customHeight="1">
      <c r="A42" s="15">
        <v>9</v>
      </c>
      <c r="B42" s="22">
        <v>12</v>
      </c>
      <c r="C42" s="22">
        <v>13</v>
      </c>
      <c r="D42" s="43">
        <v>0</v>
      </c>
      <c r="E42" s="43">
        <v>0</v>
      </c>
      <c r="F42" s="43">
        <v>0</v>
      </c>
      <c r="G42" s="44">
        <v>115192</v>
      </c>
      <c r="H42" s="44">
        <v>0</v>
      </c>
      <c r="I42" s="44">
        <v>30513</v>
      </c>
      <c r="J42" s="43">
        <v>69115</v>
      </c>
      <c r="K42" s="43">
        <v>0</v>
      </c>
      <c r="L42" s="43">
        <v>18308</v>
      </c>
      <c r="M42" s="44">
        <v>1497500</v>
      </c>
      <c r="N42" s="44">
        <v>0</v>
      </c>
      <c r="O42" s="44">
        <v>2896667</v>
      </c>
      <c r="P42" s="43">
        <v>115192</v>
      </c>
      <c r="Q42" s="43">
        <v>0</v>
      </c>
      <c r="R42" s="43">
        <v>530513</v>
      </c>
      <c r="T42">
        <f t="shared" si="0"/>
        <v>0</v>
      </c>
      <c r="U42">
        <f t="shared" si="1"/>
        <v>0</v>
      </c>
      <c r="V42">
        <f t="shared" si="2"/>
        <v>0</v>
      </c>
      <c r="W42">
        <f t="shared" si="3"/>
        <v>115192</v>
      </c>
      <c r="X42">
        <f t="shared" si="4"/>
        <v>0</v>
      </c>
      <c r="Y42">
        <f t="shared" si="5"/>
        <v>30513</v>
      </c>
      <c r="Z42">
        <f t="shared" si="6"/>
        <v>69115</v>
      </c>
      <c r="AA42">
        <f t="shared" si="7"/>
        <v>0</v>
      </c>
      <c r="AB42">
        <f t="shared" si="8"/>
        <v>18308</v>
      </c>
      <c r="AC42">
        <f t="shared" si="9"/>
        <v>1497500</v>
      </c>
      <c r="AD42">
        <f t="shared" si="10"/>
        <v>0</v>
      </c>
      <c r="AE42">
        <f t="shared" si="11"/>
        <v>2896667</v>
      </c>
      <c r="AF42">
        <f t="shared" si="12"/>
        <v>115192</v>
      </c>
      <c r="AG42">
        <f t="shared" si="13"/>
        <v>0</v>
      </c>
      <c r="AH42">
        <f t="shared" si="14"/>
        <v>530513</v>
      </c>
    </row>
    <row r="43" spans="1:34" ht="12.75" dyDescent="0.2" customHeight="1">
      <c r="A43" s="14">
        <v>10</v>
      </c>
      <c r="B43" s="22">
        <v>0</v>
      </c>
      <c r="C43" s="22">
        <v>14</v>
      </c>
      <c r="D43" s="43">
        <v>0</v>
      </c>
      <c r="E43" s="43">
        <v>0</v>
      </c>
      <c r="F43" s="43">
        <v>0</v>
      </c>
      <c r="G43" s="44">
        <v>215207</v>
      </c>
      <c r="H43" s="44">
        <v>230331</v>
      </c>
      <c r="I43" s="44">
        <v>186670</v>
      </c>
      <c r="J43" s="43">
        <v>713387</v>
      </c>
      <c r="K43" s="43">
        <v>432033</v>
      </c>
      <c r="L43" s="43">
        <v>618793</v>
      </c>
      <c r="M43" s="44">
        <v>2386505</v>
      </c>
      <c r="N43" s="44">
        <v>3745287</v>
      </c>
      <c r="O43" s="44">
        <v>2070056</v>
      </c>
      <c r="P43" s="43">
        <v>499096</v>
      </c>
      <c r="Q43" s="43">
        <v>302257</v>
      </c>
      <c r="R43" s="43">
        <v>432916</v>
      </c>
      <c r="T43">
        <f t="shared" si="0"/>
        <v>0</v>
      </c>
      <c r="U43">
        <f t="shared" si="1"/>
        <v>0</v>
      </c>
      <c r="V43">
        <f t="shared" si="2"/>
        <v>0</v>
      </c>
      <c r="W43">
        <f t="shared" si="3"/>
        <v>215207</v>
      </c>
      <c r="X43">
        <f t="shared" si="4"/>
        <v>230331</v>
      </c>
      <c r="Y43">
        <f t="shared" si="5"/>
        <v>186670</v>
      </c>
      <c r="Z43">
        <f t="shared" si="6"/>
        <v>713387</v>
      </c>
      <c r="AA43">
        <f t="shared" si="7"/>
        <v>432033</v>
      </c>
      <c r="AB43">
        <f t="shared" si="8"/>
        <v>618793</v>
      </c>
      <c r="AC43">
        <f t="shared" si="9"/>
        <v>2386505</v>
      </c>
      <c r="AD43">
        <f t="shared" si="10"/>
        <v>3745287</v>
      </c>
      <c r="AE43">
        <f t="shared" si="11"/>
        <v>2070056</v>
      </c>
      <c r="AF43">
        <f t="shared" si="12"/>
        <v>499096</v>
      </c>
      <c r="AG43">
        <f t="shared" si="13"/>
        <v>302257</v>
      </c>
      <c r="AH43">
        <f t="shared" si="14"/>
        <v>432916</v>
      </c>
    </row>
    <row r="44" spans="1:34" ht="12.75" dyDescent="0.2" customHeight="1">
      <c r="A44" s="15">
        <v>11</v>
      </c>
      <c r="B44" s="22">
        <v>0</v>
      </c>
      <c r="C44" s="22">
        <v>15</v>
      </c>
      <c r="D44" s="43">
        <v>0</v>
      </c>
      <c r="E44" s="43">
        <v>0</v>
      </c>
      <c r="F44" s="43">
        <v>0</v>
      </c>
      <c r="G44" s="44">
        <v>219756</v>
      </c>
      <c r="H44" s="44">
        <v>65789</v>
      </c>
      <c r="I44" s="44">
        <v>0</v>
      </c>
      <c r="J44" s="43">
        <v>478293</v>
      </c>
      <c r="K44" s="43">
        <v>143187</v>
      </c>
      <c r="L44" s="43">
        <v>0</v>
      </c>
      <c r="M44" s="44">
        <v>723902</v>
      </c>
      <c r="N44" s="44">
        <v>216715</v>
      </c>
      <c r="O44" s="44">
        <v>0</v>
      </c>
      <c r="P44" s="43">
        <v>168049</v>
      </c>
      <c r="Q44" s="43">
        <v>50309</v>
      </c>
      <c r="R44" s="43">
        <v>0</v>
      </c>
      <c r="T44">
        <f t="shared" si="0"/>
        <v>0</v>
      </c>
      <c r="U44">
        <f t="shared" si="1"/>
        <v>0</v>
      </c>
      <c r="V44">
        <f t="shared" si="2"/>
        <v>0</v>
      </c>
      <c r="W44">
        <f t="shared" si="3"/>
        <v>219756</v>
      </c>
      <c r="X44">
        <f t="shared" si="4"/>
        <v>65789</v>
      </c>
      <c r="Y44">
        <f t="shared" si="5"/>
        <v>0</v>
      </c>
      <c r="Z44">
        <f t="shared" si="6"/>
        <v>478293</v>
      </c>
      <c r="AA44">
        <f t="shared" si="7"/>
        <v>143187</v>
      </c>
      <c r="AB44">
        <f t="shared" si="8"/>
        <v>0</v>
      </c>
      <c r="AC44">
        <f t="shared" si="9"/>
        <v>723902</v>
      </c>
      <c r="AD44">
        <f t="shared" si="10"/>
        <v>216715</v>
      </c>
      <c r="AE44">
        <f t="shared" si="11"/>
        <v>0</v>
      </c>
      <c r="AF44">
        <f t="shared" si="12"/>
        <v>168049</v>
      </c>
      <c r="AG44">
        <f t="shared" si="13"/>
        <v>50309</v>
      </c>
      <c r="AH44">
        <f t="shared" si="14"/>
        <v>0</v>
      </c>
    </row>
    <row r="45" spans="1:34" ht="12.75" dyDescent="0.2" customHeight="1">
      <c r="A45" s="14">
        <v>12</v>
      </c>
      <c r="B45" s="22">
        <v>16</v>
      </c>
      <c r="C45" s="22">
        <v>0</v>
      </c>
      <c r="D45" s="43">
        <v>1170</v>
      </c>
      <c r="E45" s="43">
        <v>0</v>
      </c>
      <c r="F45" s="43">
        <v>0</v>
      </c>
      <c r="G45" s="44">
        <v>160840</v>
      </c>
      <c r="H45" s="44">
        <v>0</v>
      </c>
      <c r="I45" s="44">
        <v>0</v>
      </c>
      <c r="J45" s="43">
        <v>0</v>
      </c>
      <c r="K45" s="43">
        <v>0</v>
      </c>
      <c r="L45" s="43">
        <v>300000</v>
      </c>
      <c r="M45" s="44">
        <v>800000</v>
      </c>
      <c r="N45" s="44">
        <v>0</v>
      </c>
      <c r="O45" s="44">
        <v>2000000</v>
      </c>
      <c r="P45" s="43">
        <v>0</v>
      </c>
      <c r="Q45" s="43">
        <v>0</v>
      </c>
      <c r="R45" s="43">
        <v>200000</v>
      </c>
      <c r="T45">
        <f t="shared" si="0"/>
        <v>1170</v>
      </c>
      <c r="U45">
        <f t="shared" si="1"/>
        <v>0</v>
      </c>
      <c r="V45">
        <f t="shared" si="2"/>
        <v>0</v>
      </c>
      <c r="W45">
        <f t="shared" si="3"/>
        <v>160840</v>
      </c>
      <c r="X45">
        <f t="shared" si="4"/>
        <v>0</v>
      </c>
      <c r="Y45">
        <f t="shared" si="5"/>
        <v>0</v>
      </c>
      <c r="Z45">
        <f t="shared" si="6"/>
        <v>0</v>
      </c>
      <c r="AA45">
        <f t="shared" si="7"/>
        <v>0</v>
      </c>
      <c r="AB45">
        <f t="shared" si="8"/>
        <v>300000</v>
      </c>
      <c r="AC45">
        <f t="shared" si="9"/>
        <v>800000</v>
      </c>
      <c r="AD45">
        <f t="shared" si="10"/>
        <v>0</v>
      </c>
      <c r="AE45">
        <f t="shared" si="11"/>
        <v>2000000</v>
      </c>
      <c r="AF45">
        <f t="shared" si="12"/>
        <v>0</v>
      </c>
      <c r="AG45">
        <f t="shared" si="13"/>
        <v>0</v>
      </c>
      <c r="AH45">
        <f t="shared" si="14"/>
        <v>200000</v>
      </c>
    </row>
    <row r="46" spans="1:34" ht="12.75" dyDescent="0.2" customHeight="1">
      <c r="A46" s="15">
        <v>13</v>
      </c>
      <c r="B46" s="22">
        <v>0</v>
      </c>
      <c r="C46" s="22">
        <v>17</v>
      </c>
      <c r="D46" s="43">
        <v>0</v>
      </c>
      <c r="E46" s="43">
        <v>0</v>
      </c>
      <c r="F46" s="43">
        <v>0</v>
      </c>
      <c r="G46" s="44">
        <v>174183</v>
      </c>
      <c r="H46" s="44">
        <v>1134</v>
      </c>
      <c r="I46" s="44">
        <v>0</v>
      </c>
      <c r="J46" s="43">
        <v>84282</v>
      </c>
      <c r="K46" s="43">
        <v>549</v>
      </c>
      <c r="L46" s="43">
        <v>0</v>
      </c>
      <c r="M46" s="44">
        <v>1584499</v>
      </c>
      <c r="N46" s="44">
        <v>10317</v>
      </c>
      <c r="O46" s="44">
        <v>0</v>
      </c>
      <c r="P46" s="43">
        <v>0</v>
      </c>
      <c r="Q46" s="43">
        <v>0</v>
      </c>
      <c r="R46" s="43">
        <v>0</v>
      </c>
      <c r="T46">
        <f t="shared" si="0"/>
        <v>0</v>
      </c>
      <c r="U46">
        <f t="shared" si="1"/>
        <v>0</v>
      </c>
      <c r="V46">
        <f t="shared" si="2"/>
        <v>0</v>
      </c>
      <c r="W46">
        <f t="shared" si="3"/>
        <v>174183</v>
      </c>
      <c r="X46">
        <f t="shared" si="4"/>
        <v>1134</v>
      </c>
      <c r="Y46">
        <f t="shared" si="5"/>
        <v>0</v>
      </c>
      <c r="Z46">
        <f t="shared" si="6"/>
        <v>84282</v>
      </c>
      <c r="AA46">
        <f t="shared" si="7"/>
        <v>549</v>
      </c>
      <c r="AB46">
        <f t="shared" si="8"/>
        <v>0</v>
      </c>
      <c r="AC46">
        <f t="shared" si="9"/>
        <v>1584499</v>
      </c>
      <c r="AD46">
        <f t="shared" si="10"/>
        <v>10317</v>
      </c>
      <c r="AE46">
        <f t="shared" si="11"/>
        <v>0</v>
      </c>
      <c r="AF46">
        <f t="shared" si="12"/>
        <v>0</v>
      </c>
      <c r="AG46">
        <f t="shared" si="13"/>
        <v>0</v>
      </c>
      <c r="AH46">
        <f t="shared" si="14"/>
        <v>0</v>
      </c>
    </row>
    <row r="47" spans="1:34" ht="12.75" dyDescent="0.2" customHeight="1">
      <c r="A47" s="14">
        <v>14</v>
      </c>
      <c r="B47" s="22">
        <v>0</v>
      </c>
      <c r="C47" s="22">
        <v>18</v>
      </c>
      <c r="D47" s="43">
        <v>96102</v>
      </c>
      <c r="E47" s="43">
        <v>112541</v>
      </c>
      <c r="F47" s="43">
        <v>23734</v>
      </c>
      <c r="G47" s="44">
        <v>64068</v>
      </c>
      <c r="H47" s="44">
        <v>75027</v>
      </c>
      <c r="I47" s="44">
        <v>15823</v>
      </c>
      <c r="J47" s="43">
        <v>0</v>
      </c>
      <c r="K47" s="43">
        <v>0</v>
      </c>
      <c r="L47" s="43">
        <v>0</v>
      </c>
      <c r="M47" s="44">
        <v>1382526</v>
      </c>
      <c r="N47" s="44">
        <v>1619010</v>
      </c>
      <c r="O47" s="44">
        <v>341433</v>
      </c>
      <c r="P47" s="43">
        <v>0</v>
      </c>
      <c r="Q47" s="43">
        <v>0</v>
      </c>
      <c r="R47" s="43">
        <v>0</v>
      </c>
      <c r="T47">
        <f t="shared" si="0"/>
        <v>96102</v>
      </c>
      <c r="U47">
        <f t="shared" si="1"/>
        <v>112541</v>
      </c>
      <c r="V47">
        <f t="shared" si="2"/>
        <v>23734</v>
      </c>
      <c r="W47">
        <f t="shared" si="3"/>
        <v>64068</v>
      </c>
      <c r="X47">
        <f t="shared" si="4"/>
        <v>75027</v>
      </c>
      <c r="Y47">
        <f t="shared" si="5"/>
        <v>15823</v>
      </c>
      <c r="Z47">
        <f t="shared" si="6"/>
        <v>0</v>
      </c>
      <c r="AA47">
        <f t="shared" si="7"/>
        <v>0</v>
      </c>
      <c r="AB47">
        <f t="shared" si="8"/>
        <v>0</v>
      </c>
      <c r="AC47">
        <f t="shared" si="9"/>
        <v>1382526</v>
      </c>
      <c r="AD47">
        <f t="shared" si="10"/>
        <v>1619010</v>
      </c>
      <c r="AE47">
        <f t="shared" si="11"/>
        <v>341433</v>
      </c>
      <c r="AF47">
        <f t="shared" si="12"/>
        <v>0</v>
      </c>
      <c r="AG47">
        <f t="shared" si="13"/>
        <v>0</v>
      </c>
      <c r="AH47">
        <f t="shared" si="14"/>
        <v>0</v>
      </c>
    </row>
    <row r="48" spans="1:34" ht="12.75" dyDescent="0.2" customHeight="1">
      <c r="A48" s="15">
        <v>15</v>
      </c>
      <c r="B48" s="22">
        <v>0</v>
      </c>
      <c r="C48" s="22">
        <v>19</v>
      </c>
      <c r="D48" s="43">
        <v>0</v>
      </c>
      <c r="E48" s="43">
        <v>0</v>
      </c>
      <c r="F48" s="43">
        <v>0</v>
      </c>
      <c r="G48" s="44">
        <v>0</v>
      </c>
      <c r="H48" s="44">
        <v>0</v>
      </c>
      <c r="I48" s="44">
        <v>38840</v>
      </c>
      <c r="J48" s="43">
        <v>0</v>
      </c>
      <c r="K48" s="43">
        <v>4000000</v>
      </c>
      <c r="L48" s="43">
        <v>842709</v>
      </c>
      <c r="M48" s="44">
        <v>0</v>
      </c>
      <c r="N48" s="44">
        <v>6000000</v>
      </c>
      <c r="O48" s="44">
        <v>1112627</v>
      </c>
      <c r="P48" s="43">
        <v>0</v>
      </c>
      <c r="Q48" s="43">
        <v>0</v>
      </c>
      <c r="R48" s="43">
        <v>42661</v>
      </c>
      <c r="T48">
        <f t="shared" si="0"/>
        <v>0</v>
      </c>
      <c r="U48">
        <f t="shared" si="1"/>
        <v>0</v>
      </c>
      <c r="V48">
        <f t="shared" si="2"/>
        <v>0</v>
      </c>
      <c r="W48">
        <f t="shared" si="3"/>
        <v>0</v>
      </c>
      <c r="X48">
        <f t="shared" si="4"/>
        <v>0</v>
      </c>
      <c r="Y48">
        <f t="shared" si="5"/>
        <v>38840</v>
      </c>
      <c r="Z48">
        <f t="shared" si="6"/>
        <v>0</v>
      </c>
      <c r="AA48">
        <f t="shared" si="7"/>
        <v>4000000</v>
      </c>
      <c r="AB48">
        <f t="shared" si="8"/>
        <v>842709</v>
      </c>
      <c r="AC48">
        <f t="shared" si="9"/>
        <v>0</v>
      </c>
      <c r="AD48">
        <f t="shared" si="10"/>
        <v>6000000</v>
      </c>
      <c r="AE48">
        <f t="shared" si="11"/>
        <v>1112627</v>
      </c>
      <c r="AF48">
        <f t="shared" si="12"/>
        <v>0</v>
      </c>
      <c r="AG48">
        <f t="shared" si="13"/>
        <v>0</v>
      </c>
      <c r="AH48">
        <f t="shared" si="14"/>
        <v>42661</v>
      </c>
    </row>
    <row r="49" spans="1:34" ht="12.75" dyDescent="0.2" customHeight="1">
      <c r="A49" s="14">
        <v>16</v>
      </c>
      <c r="B49" s="22">
        <v>0</v>
      </c>
      <c r="C49" s="22">
        <v>20</v>
      </c>
      <c r="D49" s="43">
        <v>5396</v>
      </c>
      <c r="E49" s="43">
        <v>1505</v>
      </c>
      <c r="F49" s="43">
        <v>1061</v>
      </c>
      <c r="G49" s="44">
        <v>10644</v>
      </c>
      <c r="H49" s="44">
        <v>47163</v>
      </c>
      <c r="I49" s="44">
        <v>5052</v>
      </c>
      <c r="J49" s="43">
        <v>22313</v>
      </c>
      <c r="K49" s="43">
        <v>24056</v>
      </c>
      <c r="L49" s="43">
        <v>16967</v>
      </c>
      <c r="M49" s="44">
        <v>515676</v>
      </c>
      <c r="N49" s="44">
        <v>3355963</v>
      </c>
      <c r="O49" s="44">
        <v>392129</v>
      </c>
      <c r="P49" s="43">
        <v>22313</v>
      </c>
      <c r="Q49" s="43">
        <v>24056</v>
      </c>
      <c r="R49" s="43">
        <v>16967</v>
      </c>
      <c r="T49">
        <f t="shared" si="0"/>
        <v>5396</v>
      </c>
      <c r="U49">
        <f t="shared" si="1"/>
        <v>1505</v>
      </c>
      <c r="V49">
        <f t="shared" si="2"/>
        <v>1061</v>
      </c>
      <c r="W49">
        <f t="shared" si="3"/>
        <v>10644</v>
      </c>
      <c r="X49">
        <f t="shared" si="4"/>
        <v>47163</v>
      </c>
      <c r="Y49">
        <f t="shared" si="5"/>
        <v>5052</v>
      </c>
      <c r="Z49">
        <f t="shared" si="6"/>
        <v>22313</v>
      </c>
      <c r="AA49">
        <f t="shared" si="7"/>
        <v>24056</v>
      </c>
      <c r="AB49">
        <f t="shared" si="8"/>
        <v>16967</v>
      </c>
      <c r="AC49">
        <f t="shared" si="9"/>
        <v>515676</v>
      </c>
      <c r="AD49">
        <f t="shared" si="10"/>
        <v>3355963</v>
      </c>
      <c r="AE49">
        <f t="shared" si="11"/>
        <v>392129</v>
      </c>
      <c r="AF49">
        <f t="shared" si="12"/>
        <v>22313</v>
      </c>
      <c r="AG49">
        <f t="shared" si="13"/>
        <v>24056</v>
      </c>
      <c r="AH49">
        <f t="shared" si="14"/>
        <v>16967</v>
      </c>
    </row>
    <row r="50" spans="1:34" ht="12.75" dyDescent="0.2" customHeight="1">
      <c r="A50" s="15">
        <v>17</v>
      </c>
      <c r="B50" s="22">
        <v>21</v>
      </c>
      <c r="C50" s="22">
        <v>22</v>
      </c>
      <c r="D50" s="43">
        <v>2029500</v>
      </c>
      <c r="E50" s="43">
        <v>1994586</v>
      </c>
      <c r="F50" s="43">
        <v>948643</v>
      </c>
      <c r="G50" s="44">
        <v>6755997</v>
      </c>
      <c r="H50" s="44">
        <v>5535965</v>
      </c>
      <c r="I50" s="44">
        <v>3778811</v>
      </c>
      <c r="J50" s="43">
        <v>10168867</v>
      </c>
      <c r="K50" s="43">
        <v>7167413</v>
      </c>
      <c r="L50" s="43">
        <v>4249467</v>
      </c>
      <c r="M50" s="44">
        <v>45992436</v>
      </c>
      <c r="N50" s="44">
        <v>36026290</v>
      </c>
      <c r="O50" s="44">
        <v>21995621</v>
      </c>
      <c r="P50" s="43">
        <v>2704076</v>
      </c>
      <c r="Q50" s="43">
        <v>2322777</v>
      </c>
      <c r="R50" s="43">
        <v>1320900</v>
      </c>
      <c r="T50">
        <f t="shared" si="0"/>
        <v>2029500</v>
      </c>
      <c r="U50">
        <f t="shared" si="1"/>
        <v>1994586</v>
      </c>
      <c r="V50">
        <f t="shared" si="2"/>
        <v>948643</v>
      </c>
      <c r="W50">
        <f t="shared" si="3"/>
        <v>6755997</v>
      </c>
      <c r="X50">
        <f t="shared" si="4"/>
        <v>5535965</v>
      </c>
      <c r="Y50">
        <f t="shared" si="5"/>
        <v>3778811</v>
      </c>
      <c r="Z50">
        <f t="shared" si="6"/>
        <v>10168867</v>
      </c>
      <c r="AA50">
        <f t="shared" si="7"/>
        <v>7167413</v>
      </c>
      <c r="AB50">
        <f t="shared" si="8"/>
        <v>4249467</v>
      </c>
      <c r="AC50">
        <f t="shared" si="9"/>
        <v>45992436</v>
      </c>
      <c r="AD50">
        <f t="shared" si="10"/>
        <v>36026290</v>
      </c>
      <c r="AE50">
        <f t="shared" si="11"/>
        <v>21995621</v>
      </c>
      <c r="AF50">
        <f t="shared" si="12"/>
        <v>2704076</v>
      </c>
      <c r="AG50">
        <f t="shared" si="13"/>
        <v>2322777</v>
      </c>
      <c r="AH50">
        <f t="shared" si="14"/>
        <v>1320900</v>
      </c>
    </row>
    <row r="51" spans="1:34" ht="12.75" dyDescent="0.2" customHeight="1">
      <c r="A51" s="14">
        <v>18</v>
      </c>
      <c r="B51" s="22">
        <v>0</v>
      </c>
      <c r="C51" s="22">
        <v>23</v>
      </c>
      <c r="D51" s="43">
        <v>4576</v>
      </c>
      <c r="E51" s="43">
        <v>5158</v>
      </c>
      <c r="F51" s="43">
        <v>14803</v>
      </c>
      <c r="G51" s="44">
        <v>92932</v>
      </c>
      <c r="H51" s="44">
        <v>184765</v>
      </c>
      <c r="I51" s="44">
        <v>58930</v>
      </c>
      <c r="J51" s="43">
        <v>272192</v>
      </c>
      <c r="K51" s="43">
        <v>1206849</v>
      </c>
      <c r="L51" s="43">
        <v>166744</v>
      </c>
      <c r="M51" s="44">
        <v>1484440</v>
      </c>
      <c r="N51" s="44">
        <v>13673442</v>
      </c>
      <c r="O51" s="44">
        <v>909362</v>
      </c>
      <c r="P51" s="43">
        <v>351444</v>
      </c>
      <c r="Q51" s="43">
        <v>2396191</v>
      </c>
      <c r="R51" s="43">
        <v>215294</v>
      </c>
      <c r="T51">
        <f t="shared" si="0"/>
        <v>4576</v>
      </c>
      <c r="U51">
        <f t="shared" si="1"/>
        <v>5158</v>
      </c>
      <c r="V51">
        <f t="shared" si="2"/>
        <v>14803</v>
      </c>
      <c r="W51">
        <f t="shared" si="3"/>
        <v>92932</v>
      </c>
      <c r="X51">
        <f t="shared" si="4"/>
        <v>184765</v>
      </c>
      <c r="Y51">
        <f t="shared" si="5"/>
        <v>58930</v>
      </c>
      <c r="Z51">
        <f t="shared" si="6"/>
        <v>272192</v>
      </c>
      <c r="AA51">
        <f t="shared" si="7"/>
        <v>1206849</v>
      </c>
      <c r="AB51">
        <f t="shared" si="8"/>
        <v>166744</v>
      </c>
      <c r="AC51">
        <f t="shared" si="9"/>
        <v>1484440</v>
      </c>
      <c r="AD51">
        <f t="shared" si="10"/>
        <v>13673442</v>
      </c>
      <c r="AE51">
        <f t="shared" si="11"/>
        <v>909362</v>
      </c>
      <c r="AF51">
        <f t="shared" si="12"/>
        <v>351444</v>
      </c>
      <c r="AG51">
        <f t="shared" si="13"/>
        <v>2396191</v>
      </c>
      <c r="AH51">
        <f t="shared" si="14"/>
        <v>215294</v>
      </c>
    </row>
    <row r="52" spans="1:34" ht="12.75" dyDescent="0.2" customHeight="1">
      <c r="A52" s="15">
        <v>19</v>
      </c>
      <c r="B52" s="22">
        <v>0</v>
      </c>
      <c r="C52" s="22">
        <v>24</v>
      </c>
      <c r="D52" s="43">
        <v>9669</v>
      </c>
      <c r="E52" s="43">
        <v>0</v>
      </c>
      <c r="F52" s="43">
        <v>0</v>
      </c>
      <c r="G52" s="44">
        <v>14266</v>
      </c>
      <c r="H52" s="44">
        <v>0</v>
      </c>
      <c r="I52" s="44">
        <v>0</v>
      </c>
      <c r="J52" s="43">
        <v>451131</v>
      </c>
      <c r="K52" s="43">
        <v>0</v>
      </c>
      <c r="L52" s="43">
        <v>0</v>
      </c>
      <c r="M52" s="44">
        <v>1104799</v>
      </c>
      <c r="N52" s="44">
        <v>0</v>
      </c>
      <c r="O52" s="44">
        <v>0</v>
      </c>
      <c r="P52" s="43">
        <v>4458</v>
      </c>
      <c r="Q52" s="43">
        <v>0</v>
      </c>
      <c r="R52" s="43">
        <v>0</v>
      </c>
      <c r="T52">
        <f t="shared" si="0"/>
        <v>9669</v>
      </c>
      <c r="U52">
        <f t="shared" si="1"/>
        <v>0</v>
      </c>
      <c r="V52">
        <f t="shared" si="2"/>
        <v>0</v>
      </c>
      <c r="W52">
        <f t="shared" si="3"/>
        <v>14266</v>
      </c>
      <c r="X52">
        <f t="shared" si="4"/>
        <v>0</v>
      </c>
      <c r="Y52">
        <f t="shared" si="5"/>
        <v>0</v>
      </c>
      <c r="Z52">
        <f t="shared" si="6"/>
        <v>451131</v>
      </c>
      <c r="AA52">
        <f t="shared" si="7"/>
        <v>0</v>
      </c>
      <c r="AB52">
        <f t="shared" si="8"/>
        <v>0</v>
      </c>
      <c r="AC52">
        <f t="shared" si="9"/>
        <v>1104799</v>
      </c>
      <c r="AD52">
        <f t="shared" si="10"/>
        <v>0</v>
      </c>
      <c r="AE52">
        <f t="shared" si="11"/>
        <v>0</v>
      </c>
      <c r="AF52">
        <f t="shared" si="12"/>
        <v>4458</v>
      </c>
      <c r="AG52">
        <f t="shared" si="13"/>
        <v>0</v>
      </c>
      <c r="AH52">
        <f t="shared" si="14"/>
        <v>0</v>
      </c>
    </row>
    <row r="53" spans="1:34" ht="12.75" dyDescent="0.2" customHeight="1">
      <c r="A53" s="14">
        <v>20</v>
      </c>
      <c r="B53" s="22">
        <v>25</v>
      </c>
      <c r="C53" s="22">
        <v>0</v>
      </c>
      <c r="D53" s="43">
        <v>0</v>
      </c>
      <c r="E53" s="43">
        <v>0</v>
      </c>
      <c r="F53" s="43">
        <v>0</v>
      </c>
      <c r="G53" s="44">
        <v>0</v>
      </c>
      <c r="H53" s="44">
        <v>0</v>
      </c>
      <c r="I53" s="44">
        <v>0</v>
      </c>
      <c r="J53" s="43">
        <v>0</v>
      </c>
      <c r="K53" s="43">
        <v>0</v>
      </c>
      <c r="L53" s="43">
        <v>0</v>
      </c>
      <c r="M53" s="44">
        <v>0</v>
      </c>
      <c r="N53" s="44">
        <v>0</v>
      </c>
      <c r="O53" s="44">
        <v>0</v>
      </c>
      <c r="P53" s="43">
        <v>0</v>
      </c>
      <c r="Q53" s="43">
        <v>0</v>
      </c>
      <c r="R53" s="43">
        <v>0</v>
      </c>
      <c r="T53">
        <f t="shared" si="0"/>
        <v>0</v>
      </c>
      <c r="U53">
        <f t="shared" si="1"/>
        <v>0</v>
      </c>
      <c r="V53">
        <f t="shared" si="2"/>
        <v>0</v>
      </c>
      <c r="W53">
        <f t="shared" si="3"/>
        <v>0</v>
      </c>
      <c r="X53">
        <f t="shared" si="4"/>
        <v>0</v>
      </c>
      <c r="Y53">
        <f t="shared" si="5"/>
        <v>0</v>
      </c>
      <c r="Z53">
        <f t="shared" si="6"/>
        <v>0</v>
      </c>
      <c r="AA53">
        <f t="shared" si="7"/>
        <v>0</v>
      </c>
      <c r="AB53">
        <f t="shared" si="8"/>
        <v>0</v>
      </c>
      <c r="AC53">
        <f t="shared" si="9"/>
        <v>0</v>
      </c>
      <c r="AD53">
        <f t="shared" si="10"/>
        <v>0</v>
      </c>
      <c r="AE53">
        <f t="shared" si="11"/>
        <v>0</v>
      </c>
      <c r="AF53">
        <f t="shared" si="12"/>
        <v>0</v>
      </c>
      <c r="AG53">
        <f t="shared" si="13"/>
        <v>0</v>
      </c>
      <c r="AH53">
        <f t="shared" si="14"/>
        <v>0</v>
      </c>
    </row>
    <row r="54" spans="1:34" ht="12.75" dyDescent="0.2" customHeight="1">
      <c r="A54" s="15">
        <v>21</v>
      </c>
      <c r="B54" s="22">
        <v>26</v>
      </c>
      <c r="C54" s="22">
        <v>0</v>
      </c>
      <c r="D54" s="43">
        <v>0</v>
      </c>
      <c r="E54" s="43">
        <v>9300</v>
      </c>
      <c r="F54" s="43">
        <v>0</v>
      </c>
      <c r="G54" s="44">
        <v>80000</v>
      </c>
      <c r="H54" s="44">
        <v>7000</v>
      </c>
      <c r="I54" s="44">
        <v>0</v>
      </c>
      <c r="J54" s="43">
        <v>0</v>
      </c>
      <c r="K54" s="43">
        <v>0</v>
      </c>
      <c r="L54" s="43">
        <v>0</v>
      </c>
      <c r="M54" s="44">
        <v>400000</v>
      </c>
      <c r="N54" s="44">
        <v>0</v>
      </c>
      <c r="O54" s="44">
        <v>0</v>
      </c>
      <c r="P54" s="43">
        <v>0</v>
      </c>
      <c r="Q54" s="43">
        <v>0</v>
      </c>
      <c r="R54" s="43">
        <v>0</v>
      </c>
      <c r="T54">
        <f t="shared" si="0"/>
        <v>0</v>
      </c>
      <c r="U54">
        <f t="shared" si="1"/>
        <v>9300</v>
      </c>
      <c r="V54">
        <f t="shared" si="2"/>
        <v>0</v>
      </c>
      <c r="W54">
        <f t="shared" si="3"/>
        <v>80000</v>
      </c>
      <c r="X54">
        <f t="shared" si="4"/>
        <v>7000</v>
      </c>
      <c r="Y54">
        <f t="shared" si="5"/>
        <v>0</v>
      </c>
      <c r="Z54">
        <f t="shared" si="6"/>
        <v>0</v>
      </c>
      <c r="AA54">
        <f t="shared" si="7"/>
        <v>0</v>
      </c>
      <c r="AB54">
        <f t="shared" si="8"/>
        <v>0</v>
      </c>
      <c r="AC54">
        <f t="shared" si="9"/>
        <v>400000</v>
      </c>
      <c r="AD54">
        <f t="shared" si="10"/>
        <v>0</v>
      </c>
      <c r="AE54">
        <f t="shared" si="11"/>
        <v>0</v>
      </c>
      <c r="AF54">
        <f t="shared" si="12"/>
        <v>0</v>
      </c>
      <c r="AG54">
        <f t="shared" si="13"/>
        <v>0</v>
      </c>
      <c r="AH54">
        <f t="shared" si="14"/>
        <v>0</v>
      </c>
    </row>
    <row r="55" spans="1:34" ht="12.75" dyDescent="0.2" customHeight="1">
      <c r="A55" s="14">
        <v>22</v>
      </c>
      <c r="B55" s="22">
        <v>0</v>
      </c>
      <c r="C55" s="22">
        <v>27</v>
      </c>
      <c r="D55" s="43">
        <v>27</v>
      </c>
      <c r="E55" s="43">
        <v>1077</v>
      </c>
      <c r="F55" s="43">
        <v>1404</v>
      </c>
      <c r="G55" s="44">
        <v>600531</v>
      </c>
      <c r="H55" s="44">
        <v>21051</v>
      </c>
      <c r="I55" s="44">
        <v>27464</v>
      </c>
      <c r="J55" s="43">
        <v>2278</v>
      </c>
      <c r="K55" s="43">
        <v>90377</v>
      </c>
      <c r="L55" s="43">
        <v>617908</v>
      </c>
      <c r="M55" s="44">
        <v>2008500</v>
      </c>
      <c r="N55" s="44">
        <v>337180</v>
      </c>
      <c r="O55" s="44">
        <v>3439893</v>
      </c>
      <c r="P55" s="43">
        <v>654</v>
      </c>
      <c r="Q55" s="43">
        <v>25945</v>
      </c>
      <c r="R55" s="43">
        <v>233849</v>
      </c>
      <c r="T55">
        <f t="shared" si="0"/>
        <v>27</v>
      </c>
      <c r="U55">
        <f t="shared" si="1"/>
        <v>1077</v>
      </c>
      <c r="V55">
        <f t="shared" si="2"/>
        <v>1404</v>
      </c>
      <c r="W55">
        <f t="shared" si="3"/>
        <v>600531</v>
      </c>
      <c r="X55">
        <f t="shared" si="4"/>
        <v>21051</v>
      </c>
      <c r="Y55">
        <f t="shared" si="5"/>
        <v>27464</v>
      </c>
      <c r="Z55">
        <f t="shared" si="6"/>
        <v>2278</v>
      </c>
      <c r="AA55">
        <f t="shared" si="7"/>
        <v>90377</v>
      </c>
      <c r="AB55">
        <f t="shared" si="8"/>
        <v>617908</v>
      </c>
      <c r="AC55">
        <f t="shared" si="9"/>
        <v>2008500</v>
      </c>
      <c r="AD55">
        <f t="shared" si="10"/>
        <v>337180</v>
      </c>
      <c r="AE55">
        <f t="shared" si="11"/>
        <v>3439893</v>
      </c>
      <c r="AF55">
        <f t="shared" si="12"/>
        <v>654</v>
      </c>
      <c r="AG55">
        <f t="shared" si="13"/>
        <v>25945</v>
      </c>
      <c r="AH55">
        <f t="shared" si="14"/>
        <v>233849</v>
      </c>
    </row>
    <row r="56" spans="1:34" ht="12.75" dyDescent="0.2" customHeight="1">
      <c r="A56" s="15">
        <v>23</v>
      </c>
      <c r="B56" s="22">
        <v>28</v>
      </c>
      <c r="C56" s="22">
        <v>29</v>
      </c>
      <c r="D56" s="43">
        <v>451</v>
      </c>
      <c r="E56" s="43">
        <v>458</v>
      </c>
      <c r="F56" s="43">
        <v>3115</v>
      </c>
      <c r="G56" s="44">
        <v>79602</v>
      </c>
      <c r="H56" s="44">
        <v>140760</v>
      </c>
      <c r="I56" s="44">
        <v>24300</v>
      </c>
      <c r="J56" s="43">
        <v>348938</v>
      </c>
      <c r="K56" s="43">
        <v>354016</v>
      </c>
      <c r="L56" s="43">
        <v>88988</v>
      </c>
      <c r="M56" s="44">
        <v>1812030</v>
      </c>
      <c r="N56" s="44">
        <v>2538401</v>
      </c>
      <c r="O56" s="44">
        <v>462112</v>
      </c>
      <c r="P56" s="43">
        <v>644392</v>
      </c>
      <c r="Q56" s="43">
        <v>653770</v>
      </c>
      <c r="R56" s="43">
        <v>164336</v>
      </c>
      <c r="T56">
        <f t="shared" si="0"/>
        <v>451</v>
      </c>
      <c r="U56">
        <f t="shared" si="1"/>
        <v>458</v>
      </c>
      <c r="V56">
        <f t="shared" si="2"/>
        <v>3115</v>
      </c>
      <c r="W56">
        <f t="shared" si="3"/>
        <v>79602</v>
      </c>
      <c r="X56">
        <f t="shared" si="4"/>
        <v>140760</v>
      </c>
      <c r="Y56">
        <f t="shared" si="5"/>
        <v>24300</v>
      </c>
      <c r="Z56">
        <f t="shared" si="6"/>
        <v>348938</v>
      </c>
      <c r="AA56">
        <f t="shared" si="7"/>
        <v>354016</v>
      </c>
      <c r="AB56">
        <f t="shared" si="8"/>
        <v>88988</v>
      </c>
      <c r="AC56">
        <f t="shared" si="9"/>
        <v>1812030</v>
      </c>
      <c r="AD56">
        <f t="shared" si="10"/>
        <v>2538401</v>
      </c>
      <c r="AE56">
        <f t="shared" si="11"/>
        <v>462112</v>
      </c>
      <c r="AF56">
        <f t="shared" si="12"/>
        <v>644392</v>
      </c>
      <c r="AG56">
        <f t="shared" si="13"/>
        <v>653770</v>
      </c>
      <c r="AH56">
        <f t="shared" si="14"/>
        <v>164336</v>
      </c>
    </row>
    <row r="57" spans="1:34" ht="12.75" dyDescent="0.2" customHeight="1">
      <c r="A57" s="14">
        <v>24</v>
      </c>
      <c r="B57" s="22">
        <v>30</v>
      </c>
      <c r="C57" s="22">
        <v>0</v>
      </c>
      <c r="D57" s="43">
        <v>10804</v>
      </c>
      <c r="E57" s="43">
        <v>0</v>
      </c>
      <c r="F57" s="43">
        <v>0</v>
      </c>
      <c r="G57" s="44">
        <v>153880</v>
      </c>
      <c r="H57" s="44">
        <v>400000</v>
      </c>
      <c r="I57" s="44">
        <v>0</v>
      </c>
      <c r="J57" s="43">
        <v>387957</v>
      </c>
      <c r="K57" s="43">
        <v>0</v>
      </c>
      <c r="L57" s="43">
        <v>0</v>
      </c>
      <c r="M57" s="44">
        <v>1715679</v>
      </c>
      <c r="N57" s="44">
        <v>1200000</v>
      </c>
      <c r="O57" s="44">
        <v>0</v>
      </c>
      <c r="P57" s="43">
        <v>75392</v>
      </c>
      <c r="Q57" s="43">
        <v>0</v>
      </c>
      <c r="R57" s="43">
        <v>0</v>
      </c>
      <c r="T57">
        <f t="shared" si="0"/>
        <v>10804</v>
      </c>
      <c r="U57">
        <f t="shared" si="1"/>
        <v>0</v>
      </c>
      <c r="V57">
        <f t="shared" si="2"/>
        <v>0</v>
      </c>
      <c r="W57">
        <f t="shared" si="3"/>
        <v>153880</v>
      </c>
      <c r="X57">
        <f t="shared" si="4"/>
        <v>400000</v>
      </c>
      <c r="Y57">
        <f t="shared" si="5"/>
        <v>0</v>
      </c>
      <c r="Z57">
        <f t="shared" si="6"/>
        <v>387957</v>
      </c>
      <c r="AA57">
        <f t="shared" si="7"/>
        <v>0</v>
      </c>
      <c r="AB57">
        <f t="shared" si="8"/>
        <v>0</v>
      </c>
      <c r="AC57">
        <f t="shared" si="9"/>
        <v>1715679</v>
      </c>
      <c r="AD57">
        <f t="shared" si="10"/>
        <v>1200000</v>
      </c>
      <c r="AE57">
        <f t="shared" si="11"/>
        <v>0</v>
      </c>
      <c r="AF57">
        <f t="shared" si="12"/>
        <v>75392</v>
      </c>
      <c r="AG57">
        <f t="shared" si="13"/>
        <v>0</v>
      </c>
      <c r="AH57">
        <f t="shared" si="14"/>
        <v>0</v>
      </c>
    </row>
    <row r="58" spans="1:34" ht="12.75" dyDescent="0.2" customHeight="1">
      <c r="A58" s="29"/>
      <c r="B58" s="54"/>
      <c r="C58" s="54"/>
      <c r="D58" s="54"/>
      <c r="E58" s="29"/>
      <c r="F58" s="29"/>
    </row>
    <row r="59" spans="1:34" ht="12.75" dyDescent="0.2" customHeight="1">
      <c r="A59" s="30"/>
      <c r="B59" s="31"/>
      <c r="C59" s="31"/>
      <c r="D59" s="31"/>
      <c r="E59" s="31"/>
      <c r="F59" s="31"/>
      <c r="G59" s="9"/>
    </row>
    <row r="60" spans="1:34" ht="12.75" dyDescent="0.2" customHeight="1">
      <c r="A60" s="32">
        <v>1</v>
      </c>
      <c r="B60" s="47">
        <v>475840</v>
      </c>
      <c r="C60" s="47">
        <v>385760</v>
      </c>
      <c r="D60" s="47">
        <v>257700</v>
      </c>
      <c r="E60" s="47">
        <v>834700</v>
      </c>
      <c r="F60" s="47">
        <v>188000</v>
      </c>
      <c r="G60" s="9">
        <v>1</v>
      </c>
    </row>
    <row r="61" spans="1:34" ht="12.75" dyDescent="0.2" customHeight="1">
      <c r="A61" s="32">
        <v>2</v>
      </c>
      <c r="B61" s="47">
        <v>535000</v>
      </c>
      <c r="C61" s="47">
        <v>869500</v>
      </c>
      <c r="D61" s="47">
        <v>3061450</v>
      </c>
      <c r="E61" s="47">
        <v>12278100</v>
      </c>
      <c r="F61" s="47">
        <v>1701400</v>
      </c>
      <c r="G61" s="9">
        <v>2</v>
      </c>
    </row>
    <row r="62" spans="1:34" ht="12.75" dyDescent="0.2" customHeight="1">
      <c r="A62" s="32">
        <v>3</v>
      </c>
      <c r="B62" s="47">
        <v>97090</v>
      </c>
      <c r="C62" s="47">
        <v>1589060</v>
      </c>
      <c r="D62" s="47">
        <v>525600</v>
      </c>
      <c r="E62" s="47">
        <v>3764600</v>
      </c>
      <c r="F62" s="47">
        <v>454000</v>
      </c>
      <c r="G62" s="9">
        <v>3</v>
      </c>
    </row>
    <row r="63" spans="1:34" ht="12.75" dyDescent="0.2" customHeight="1">
      <c r="A63" s="32">
        <v>4</v>
      </c>
      <c r="B63" s="47">
        <v>647360</v>
      </c>
      <c r="C63" s="47">
        <v>1718580</v>
      </c>
      <c r="D63" s="47">
        <v>3377750</v>
      </c>
      <c r="E63" s="47">
        <v>9268100</v>
      </c>
      <c r="F63" s="47">
        <v>377200</v>
      </c>
      <c r="G63" s="9">
        <v>4</v>
      </c>
    </row>
    <row r="64" spans="1:34" ht="12.75" dyDescent="0.2" customHeight="1">
      <c r="A64" s="32">
        <v>5</v>
      </c>
      <c r="B64" s="47">
        <v>1141780</v>
      </c>
      <c r="C64" s="47">
        <v>2571380</v>
      </c>
      <c r="D64" s="47">
        <v>5183000</v>
      </c>
      <c r="E64" s="47">
        <v>13134400</v>
      </c>
      <c r="F64" s="47">
        <v>1621400</v>
      </c>
      <c r="G64" s="9">
        <v>5</v>
      </c>
      <c r="H64" s="33"/>
      <c r="I64" s="33"/>
    </row>
    <row r="65" spans="1:34" ht="12.75" dyDescent="0.2" customHeight="1">
      <c r="A65" s="32">
        <v>6</v>
      </c>
      <c r="B65" s="47">
        <v>397000</v>
      </c>
      <c r="C65" s="47">
        <v>96000</v>
      </c>
      <c r="D65" s="47">
        <v>2500000</v>
      </c>
      <c r="E65" s="47">
        <v>0</v>
      </c>
      <c r="F65" s="47">
        <v>0</v>
      </c>
      <c r="G65" s="9">
        <v>5</v>
      </c>
    </row>
    <row r="66" spans="1:34" ht="12.75" dyDescent="0.2" customHeight="1">
      <c r="A66" s="32">
        <v>7</v>
      </c>
      <c r="B66" s="47">
        <v>285450</v>
      </c>
      <c r="C66" s="47">
        <v>2123820</v>
      </c>
      <c r="D66" s="47">
        <v>5427450</v>
      </c>
      <c r="E66" s="47">
        <v>14862400</v>
      </c>
      <c r="F66" s="47">
        <v>1075400</v>
      </c>
      <c r="G66" s="9">
        <v>6</v>
      </c>
    </row>
    <row r="67" spans="1:34" ht="12.75" dyDescent="0.2" customHeight="1">
      <c r="A67" s="32">
        <v>8</v>
      </c>
      <c r="B67" s="47">
        <v>42000</v>
      </c>
      <c r="C67" s="47">
        <v>32000</v>
      </c>
      <c r="D67" s="47">
        <v>175000</v>
      </c>
      <c r="E67" s="47">
        <v>20000</v>
      </c>
      <c r="F67" s="47">
        <v>100000</v>
      </c>
      <c r="G67" s="9">
        <v>6</v>
      </c>
    </row>
    <row r="68" spans="1:34" ht="12.75" dyDescent="0.2" customHeight="1">
      <c r="A68" s="32">
        <v>9</v>
      </c>
      <c r="B68" s="47">
        <v>513820</v>
      </c>
      <c r="C68" s="47">
        <v>702600</v>
      </c>
      <c r="D68" s="47">
        <v>11023950</v>
      </c>
      <c r="E68" s="47">
        <v>13366200</v>
      </c>
      <c r="F68" s="47">
        <v>2869000</v>
      </c>
      <c r="G68" s="9">
        <v>7</v>
      </c>
    </row>
    <row r="69" spans="1:34" ht="12.75" dyDescent="0.2" customHeight="1">
      <c r="A69" s="32">
        <v>10</v>
      </c>
      <c r="B69" s="47">
        <v>1586180</v>
      </c>
      <c r="C69" s="47">
        <v>1498760</v>
      </c>
      <c r="D69" s="47">
        <v>1782900</v>
      </c>
      <c r="E69" s="47">
        <v>8518800</v>
      </c>
      <c r="F69" s="47">
        <v>1678000</v>
      </c>
      <c r="G69" s="9">
        <v>8</v>
      </c>
    </row>
    <row r="70" spans="1:34" ht="12.75" dyDescent="0.2" customHeight="1">
      <c r="A70" s="32">
        <v>11</v>
      </c>
      <c r="B70" s="47">
        <v>0</v>
      </c>
      <c r="C70" s="47">
        <v>3954000</v>
      </c>
      <c r="D70" s="47">
        <v>6950000</v>
      </c>
      <c r="E70" s="47">
        <v>3900000</v>
      </c>
      <c r="F70" s="47">
        <v>0</v>
      </c>
      <c r="G70" s="9">
        <v>8</v>
      </c>
    </row>
    <row r="71" spans="1:34" ht="12.75" dyDescent="0.2" customHeight="1">
      <c r="A71" s="32">
        <v>12</v>
      </c>
      <c r="B71" s="47">
        <v>354050</v>
      </c>
      <c r="C71" s="47">
        <v>2098320</v>
      </c>
      <c r="D71" s="47">
        <v>5022100</v>
      </c>
      <c r="E71" s="47">
        <v>11408200</v>
      </c>
      <c r="F71" s="47">
        <v>782600</v>
      </c>
      <c r="G71" s="9">
        <v>9</v>
      </c>
    </row>
    <row r="72" spans="1:34" ht="12.75" dyDescent="0.2" customHeight="1">
      <c r="A72" s="32">
        <v>13</v>
      </c>
      <c r="B72" s="47">
        <v>66240</v>
      </c>
      <c r="C72" s="47">
        <v>52140</v>
      </c>
      <c r="D72" s="47">
        <v>8600</v>
      </c>
      <c r="E72" s="47">
        <v>83200</v>
      </c>
      <c r="F72" s="47">
        <v>575400</v>
      </c>
      <c r="G72" s="9">
        <v>9</v>
      </c>
    </row>
    <row r="73" spans="1:34" ht="12.75" dyDescent="0.2" customHeight="1">
      <c r="A73" s="32">
        <v>14</v>
      </c>
      <c r="B73" s="47">
        <v>722170</v>
      </c>
      <c r="C73" s="47">
        <v>1439800</v>
      </c>
      <c r="D73" s="47">
        <v>3070550</v>
      </c>
      <c r="E73" s="47">
        <v>12329800</v>
      </c>
      <c r="F73" s="47">
        <v>735800</v>
      </c>
      <c r="G73" s="9">
        <v>10</v>
      </c>
    </row>
    <row r="74" spans="1:34" ht="12.75" dyDescent="0.2" customHeight="1">
      <c r="A74" s="32">
        <v>15</v>
      </c>
      <c r="B74" s="47">
        <v>539780</v>
      </c>
      <c r="C74" s="47">
        <v>1751140</v>
      </c>
      <c r="D74" s="47">
        <v>2295900</v>
      </c>
      <c r="E74" s="47">
        <v>4078300</v>
      </c>
      <c r="F74" s="47">
        <v>1269800</v>
      </c>
      <c r="G74" s="9">
        <v>11</v>
      </c>
    </row>
    <row r="75" spans="1:34" ht="12.75" dyDescent="0.2" customHeight="1">
      <c r="A75" s="32">
        <v>16</v>
      </c>
      <c r="B75" s="47">
        <v>73910</v>
      </c>
      <c r="C75" s="47">
        <v>725960</v>
      </c>
      <c r="D75" s="47">
        <v>170350</v>
      </c>
      <c r="E75" s="47">
        <v>2294600</v>
      </c>
      <c r="F75" s="47">
        <v>1213000</v>
      </c>
      <c r="G75" s="9">
        <v>12</v>
      </c>
    </row>
    <row r="76" spans="1:34" ht="12.75" dyDescent="0.2" customHeight="1">
      <c r="A76" s="32">
        <v>17</v>
      </c>
      <c r="B76" s="47">
        <v>239200</v>
      </c>
      <c r="C76" s="47">
        <v>1143600</v>
      </c>
      <c r="D76" s="47">
        <v>1506800</v>
      </c>
      <c r="E76" s="47">
        <v>3036900</v>
      </c>
      <c r="F76" s="47">
        <v>272200</v>
      </c>
      <c r="G76" s="9">
        <v>13</v>
      </c>
    </row>
    <row r="77" spans="1:34" ht="12.75" dyDescent="0.2" customHeight="1">
      <c r="A77" s="32">
        <v>18</v>
      </c>
      <c r="B77" s="47">
        <v>400200</v>
      </c>
      <c r="C77" s="47">
        <v>1379500</v>
      </c>
      <c r="D77" s="47">
        <v>2535500</v>
      </c>
      <c r="E77" s="47">
        <v>4591800</v>
      </c>
      <c r="F77" s="47">
        <v>482200</v>
      </c>
      <c r="G77" s="9">
        <v>14</v>
      </c>
    </row>
    <row r="78" spans="1:34" ht="12.75" dyDescent="0.2" customHeight="1">
      <c r="A78" s="32">
        <v>19</v>
      </c>
      <c r="B78" s="47">
        <v>54610</v>
      </c>
      <c r="C78" s="47">
        <v>1249400</v>
      </c>
      <c r="D78" s="47">
        <v>8275200</v>
      </c>
      <c r="E78" s="47">
        <v>6407500</v>
      </c>
      <c r="F78" s="47">
        <v>32200</v>
      </c>
      <c r="G78" s="9">
        <v>15</v>
      </c>
    </row>
    <row r="79" spans="1:34" ht="12.75" dyDescent="0.2" customHeight="1">
      <c r="A79" s="32">
        <v>20</v>
      </c>
      <c r="B79" s="47">
        <v>754290</v>
      </c>
      <c r="C79" s="47">
        <v>1600160</v>
      </c>
      <c r="D79" s="47">
        <v>1312250</v>
      </c>
      <c r="E79" s="47">
        <v>4103100</v>
      </c>
      <c r="F79" s="47">
        <v>1706800</v>
      </c>
      <c r="G79" s="9">
        <v>16</v>
      </c>
    </row>
    <row r="80" spans="1:34" ht="12.75" dyDescent="0.2" customHeight="1">
      <c r="A80" s="32">
        <v>21</v>
      </c>
      <c r="B80" s="47">
        <v>4173210</v>
      </c>
      <c r="C80" s="47">
        <v>16285040</v>
      </c>
      <c r="D80" s="47">
        <v>25359200</v>
      </c>
      <c r="E80" s="47">
        <v>61831300</v>
      </c>
      <c r="F80" s="47">
        <v>7135400</v>
      </c>
      <c r="G80" s="9">
        <v>17</v>
      </c>
    </row>
    <row r="81" spans="1:34" ht="12.75" dyDescent="0.2" customHeight="1">
      <c r="A81" s="32">
        <v>22</v>
      </c>
      <c r="B81" s="47">
        <v>430650</v>
      </c>
      <c r="C81" s="47">
        <v>4017360</v>
      </c>
      <c r="D81" s="47">
        <v>7787800</v>
      </c>
      <c r="E81" s="47">
        <v>18955300</v>
      </c>
      <c r="F81" s="47">
        <v>2789800</v>
      </c>
      <c r="G81" s="9">
        <v>17</v>
      </c>
    </row>
    <row r="82" spans="1:34" ht="12.75" dyDescent="0.2" customHeight="1">
      <c r="A82" s="32">
        <v>23</v>
      </c>
      <c r="B82" s="47">
        <v>397910</v>
      </c>
      <c r="C82" s="47">
        <v>1918200</v>
      </c>
      <c r="D82" s="47">
        <v>4030350</v>
      </c>
      <c r="E82" s="47">
        <v>22485100</v>
      </c>
      <c r="F82" s="47">
        <v>5482600</v>
      </c>
      <c r="G82" s="9">
        <v>18</v>
      </c>
    </row>
    <row r="83" spans="1:34" ht="12.75" dyDescent="0.2" customHeight="1">
      <c r="A83" s="32">
        <v>24</v>
      </c>
      <c r="B83" s="47">
        <v>225000</v>
      </c>
      <c r="C83" s="47">
        <v>1186260</v>
      </c>
      <c r="D83" s="47">
        <v>3912000</v>
      </c>
      <c r="E83" s="47">
        <v>8566100</v>
      </c>
      <c r="F83" s="47">
        <v>1935800</v>
      </c>
      <c r="G83" s="9">
        <v>19</v>
      </c>
    </row>
    <row r="84" spans="1:34" ht="12.75" dyDescent="0.2" customHeight="1">
      <c r="A84" s="32">
        <v>25</v>
      </c>
      <c r="B84" s="47">
        <v>99340</v>
      </c>
      <c r="C84" s="47">
        <v>373500</v>
      </c>
      <c r="D84" s="47">
        <v>3488400</v>
      </c>
      <c r="E84" s="47">
        <v>25463400</v>
      </c>
      <c r="F84" s="47">
        <v>7896400</v>
      </c>
      <c r="G84" s="9">
        <v>20</v>
      </c>
    </row>
    <row r="85" spans="1:34" ht="12.75" dyDescent="0.2" customHeight="1">
      <c r="A85" s="32">
        <v>26</v>
      </c>
      <c r="B85" s="47">
        <v>457390</v>
      </c>
      <c r="C85" s="47">
        <v>1256580</v>
      </c>
      <c r="D85" s="47">
        <v>3077850</v>
      </c>
      <c r="E85" s="47">
        <v>5025200</v>
      </c>
      <c r="F85" s="47">
        <v>122600</v>
      </c>
      <c r="G85" s="9">
        <v>21</v>
      </c>
    </row>
    <row r="86" spans="1:34" ht="12.75" dyDescent="0.2" customHeight="1">
      <c r="A86" s="32">
        <v>27</v>
      </c>
      <c r="B86" s="47">
        <v>536270</v>
      </c>
      <c r="C86" s="47">
        <v>1525720</v>
      </c>
      <c r="D86" s="47">
        <v>2708500</v>
      </c>
      <c r="E86" s="47">
        <v>7853600</v>
      </c>
      <c r="F86" s="47">
        <v>359600</v>
      </c>
      <c r="G86" s="9">
        <v>22</v>
      </c>
    </row>
    <row r="87" spans="1:34" ht="12.75" dyDescent="0.2" customHeight="1">
      <c r="A87" s="32">
        <v>28</v>
      </c>
      <c r="B87" s="47">
        <v>537830</v>
      </c>
      <c r="C87" s="47">
        <v>1742940</v>
      </c>
      <c r="D87" s="47">
        <v>4933800</v>
      </c>
      <c r="E87" s="47">
        <v>8620700</v>
      </c>
      <c r="F87" s="47">
        <v>2846800</v>
      </c>
      <c r="G87" s="9">
        <v>23</v>
      </c>
    </row>
    <row r="88" spans="1:34" ht="12.75" dyDescent="0.2" customHeight="1">
      <c r="A88" s="32">
        <v>29</v>
      </c>
      <c r="B88" s="47">
        <v>160000</v>
      </c>
      <c r="C88" s="47">
        <v>80000</v>
      </c>
      <c r="D88" s="47">
        <v>5500000</v>
      </c>
      <c r="E88" s="47">
        <v>2200000</v>
      </c>
      <c r="F88" s="47">
        <v>0</v>
      </c>
      <c r="G88" s="9">
        <v>23</v>
      </c>
    </row>
    <row r="89" spans="1:34" ht="12.75" dyDescent="0.2" customHeight="1">
      <c r="A89" s="32">
        <v>30</v>
      </c>
      <c r="B89" s="47">
        <v>24760</v>
      </c>
      <c r="C89" s="47">
        <v>1317380</v>
      </c>
      <c r="D89" s="47">
        <v>408300</v>
      </c>
      <c r="E89" s="47">
        <v>2594200</v>
      </c>
      <c r="F89" s="47">
        <v>139000</v>
      </c>
      <c r="G89" s="9">
        <v>24</v>
      </c>
    </row>
    <row r="91" spans="1:34" ht="12.75" dyDescent="0.2" customHeight="1">
      <c r="A91" s="48">
        <v>100</v>
      </c>
      <c r="B91">
        <v>150</v>
      </c>
      <c r="C91">
        <v>150</v>
      </c>
      <c r="D91">
        <v>450</v>
      </c>
      <c r="E91">
        <v>450</v>
      </c>
      <c r="F91">
        <v>450</v>
      </c>
      <c r="G91">
        <v>400</v>
      </c>
      <c r="H91">
        <v>400</v>
      </c>
      <c r="I91">
        <v>150</v>
      </c>
      <c r="J91">
        <v>150</v>
      </c>
      <c r="K91">
        <v>150</v>
      </c>
      <c r="L91">
        <v>450</v>
      </c>
      <c r="M91">
        <v>450</v>
      </c>
      <c r="N91">
        <v>150</v>
      </c>
      <c r="O91">
        <v>300</v>
      </c>
      <c r="P91">
        <v>400</v>
      </c>
      <c r="Q91">
        <v>450</v>
      </c>
      <c r="R91">
        <v>450</v>
      </c>
      <c r="S91">
        <v>450</v>
      </c>
      <c r="T91">
        <v>150</v>
      </c>
      <c r="U91">
        <v>150</v>
      </c>
      <c r="V91">
        <v>150</v>
      </c>
      <c r="W91">
        <v>450</v>
      </c>
      <c r="X91">
        <v>300</v>
      </c>
      <c r="Y91">
        <v>150</v>
      </c>
      <c r="Z91">
        <v>150</v>
      </c>
      <c r="AA91">
        <v>150</v>
      </c>
      <c r="AB91">
        <v>400</v>
      </c>
      <c r="AC91">
        <v>400</v>
      </c>
      <c r="AD91">
        <v>450</v>
      </c>
    </row>
    <row r="92" spans="1:34" ht="12.75" dyDescent="0.2" customHeight="1">
      <c r="A92">
        <v>150</v>
      </c>
      <c r="B92" s="48">
        <v>100</v>
      </c>
      <c r="C92">
        <v>150</v>
      </c>
      <c r="D92">
        <v>450</v>
      </c>
      <c r="E92">
        <v>450</v>
      </c>
      <c r="F92">
        <v>450</v>
      </c>
      <c r="G92">
        <v>400</v>
      </c>
      <c r="H92">
        <v>400</v>
      </c>
      <c r="I92">
        <v>150</v>
      </c>
      <c r="J92">
        <v>150</v>
      </c>
      <c r="K92">
        <v>150</v>
      </c>
      <c r="L92">
        <v>450</v>
      </c>
      <c r="M92">
        <v>450</v>
      </c>
      <c r="N92">
        <v>150</v>
      </c>
      <c r="O92">
        <v>300</v>
      </c>
      <c r="P92">
        <v>400</v>
      </c>
      <c r="Q92">
        <v>450</v>
      </c>
      <c r="R92">
        <v>450</v>
      </c>
      <c r="S92">
        <v>450</v>
      </c>
      <c r="T92">
        <v>150</v>
      </c>
      <c r="U92">
        <v>300</v>
      </c>
      <c r="V92">
        <v>300</v>
      </c>
      <c r="W92">
        <v>450</v>
      </c>
      <c r="X92">
        <v>300</v>
      </c>
      <c r="Y92">
        <v>150</v>
      </c>
      <c r="Z92">
        <v>150</v>
      </c>
      <c r="AA92">
        <v>150</v>
      </c>
      <c r="AB92">
        <v>400</v>
      </c>
      <c r="AC92">
        <v>400</v>
      </c>
      <c r="AD92">
        <v>450</v>
      </c>
    </row>
    <row r="93" spans="1:34" ht="12.75" dyDescent="0.2" customHeight="1">
      <c r="A93">
        <v>150</v>
      </c>
      <c r="B93">
        <v>150</v>
      </c>
      <c r="C93" s="48">
        <v>100</v>
      </c>
      <c r="D93">
        <v>450</v>
      </c>
      <c r="E93">
        <v>450</v>
      </c>
      <c r="F93">
        <v>450</v>
      </c>
      <c r="G93">
        <v>400</v>
      </c>
      <c r="H93">
        <v>400</v>
      </c>
      <c r="I93">
        <v>150</v>
      </c>
      <c r="J93">
        <v>150</v>
      </c>
      <c r="K93">
        <v>150</v>
      </c>
      <c r="L93">
        <v>450</v>
      </c>
      <c r="M93">
        <v>450</v>
      </c>
      <c r="N93">
        <v>150</v>
      </c>
      <c r="O93">
        <v>300</v>
      </c>
      <c r="P93">
        <v>400</v>
      </c>
      <c r="Q93">
        <v>450</v>
      </c>
      <c r="R93">
        <v>450</v>
      </c>
      <c r="S93">
        <v>450</v>
      </c>
      <c r="T93">
        <v>150</v>
      </c>
      <c r="U93">
        <v>150</v>
      </c>
      <c r="V93">
        <v>150</v>
      </c>
      <c r="W93">
        <v>450</v>
      </c>
      <c r="X93">
        <v>300</v>
      </c>
      <c r="Y93">
        <v>150</v>
      </c>
      <c r="Z93">
        <v>150</v>
      </c>
      <c r="AA93">
        <v>150</v>
      </c>
      <c r="AB93">
        <v>400</v>
      </c>
      <c r="AC93">
        <v>400</v>
      </c>
      <c r="AD93">
        <v>450</v>
      </c>
    </row>
    <row r="94" spans="1:34" ht="12.75" dyDescent="0.2" customHeight="1">
      <c r="A94">
        <v>450</v>
      </c>
      <c r="B94">
        <v>450</v>
      </c>
      <c r="C94">
        <v>450</v>
      </c>
      <c r="D94" s="48">
        <v>100</v>
      </c>
      <c r="E94">
        <v>150</v>
      </c>
      <c r="F94">
        <v>150</v>
      </c>
      <c r="G94">
        <v>150</v>
      </c>
      <c r="H94">
        <v>150</v>
      </c>
      <c r="I94">
        <v>300</v>
      </c>
      <c r="J94">
        <v>400</v>
      </c>
      <c r="K94">
        <v>400</v>
      </c>
      <c r="L94">
        <v>150</v>
      </c>
      <c r="M94">
        <v>150</v>
      </c>
      <c r="N94">
        <v>300</v>
      </c>
      <c r="O94">
        <v>150</v>
      </c>
      <c r="P94">
        <v>150</v>
      </c>
      <c r="Q94">
        <v>150</v>
      </c>
      <c r="R94">
        <v>150</v>
      </c>
      <c r="S94">
        <v>100</v>
      </c>
      <c r="T94">
        <v>450</v>
      </c>
      <c r="U94">
        <v>300</v>
      </c>
      <c r="V94">
        <v>300</v>
      </c>
      <c r="W94">
        <v>150</v>
      </c>
      <c r="X94">
        <v>300</v>
      </c>
      <c r="Y94">
        <v>400</v>
      </c>
      <c r="Z94">
        <v>450</v>
      </c>
      <c r="AA94">
        <v>150</v>
      </c>
      <c r="AB94">
        <v>150</v>
      </c>
      <c r="AC94">
        <v>150</v>
      </c>
      <c r="AD94">
        <v>150</v>
      </c>
    </row>
    <row r="95" spans="1:34" ht="12.75" dyDescent="0.2" customHeight="1">
      <c r="A95">
        <v>450</v>
      </c>
      <c r="B95">
        <v>450</v>
      </c>
      <c r="C95">
        <v>450</v>
      </c>
      <c r="D95">
        <v>150</v>
      </c>
      <c r="E95" s="48">
        <v>100</v>
      </c>
      <c r="F95">
        <v>100</v>
      </c>
      <c r="G95">
        <v>300</v>
      </c>
      <c r="H95">
        <v>300</v>
      </c>
      <c r="I95">
        <v>150</v>
      </c>
      <c r="J95">
        <v>400</v>
      </c>
      <c r="K95">
        <v>400</v>
      </c>
      <c r="L95">
        <v>150</v>
      </c>
      <c r="M95">
        <v>150</v>
      </c>
      <c r="N95">
        <v>400</v>
      </c>
      <c r="O95">
        <v>300</v>
      </c>
      <c r="P95">
        <v>300</v>
      </c>
      <c r="Q95">
        <v>150</v>
      </c>
      <c r="R95">
        <v>150</v>
      </c>
      <c r="S95">
        <v>150</v>
      </c>
      <c r="T95">
        <v>450</v>
      </c>
      <c r="U95">
        <v>300</v>
      </c>
      <c r="V95">
        <v>300</v>
      </c>
      <c r="W95">
        <v>150</v>
      </c>
      <c r="X95">
        <v>400</v>
      </c>
      <c r="Y95">
        <v>400</v>
      </c>
      <c r="Z95">
        <v>450</v>
      </c>
      <c r="AA95">
        <v>150</v>
      </c>
      <c r="AB95">
        <v>150</v>
      </c>
      <c r="AC95">
        <v>150</v>
      </c>
      <c r="AD95">
        <v>150</v>
      </c>
    </row>
    <row r="96" spans="1:34" ht="12.75" dyDescent="0.2" customHeight="1">
      <c r="A96">
        <v>450</v>
      </c>
      <c r="B96">
        <v>450</v>
      </c>
      <c r="C96">
        <v>450</v>
      </c>
      <c r="D96">
        <v>150</v>
      </c>
      <c r="E96">
        <v>100</v>
      </c>
      <c r="F96" s="48">
        <v>100</v>
      </c>
      <c r="G96">
        <v>300</v>
      </c>
      <c r="H96">
        <v>300</v>
      </c>
      <c r="I96">
        <v>150</v>
      </c>
      <c r="J96">
        <v>400</v>
      </c>
      <c r="K96">
        <v>400</v>
      </c>
      <c r="L96">
        <v>150</v>
      </c>
      <c r="M96">
        <v>150</v>
      </c>
      <c r="N96">
        <v>400</v>
      </c>
      <c r="O96">
        <v>300</v>
      </c>
      <c r="P96">
        <v>300</v>
      </c>
      <c r="Q96">
        <v>150</v>
      </c>
      <c r="R96">
        <v>150</v>
      </c>
      <c r="S96">
        <v>150</v>
      </c>
      <c r="T96">
        <v>450</v>
      </c>
      <c r="U96">
        <v>300</v>
      </c>
      <c r="V96">
        <v>300</v>
      </c>
      <c r="W96">
        <v>150</v>
      </c>
      <c r="X96">
        <v>400</v>
      </c>
      <c r="Y96">
        <v>400</v>
      </c>
      <c r="Z96">
        <v>450</v>
      </c>
      <c r="AA96">
        <v>150</v>
      </c>
      <c r="AB96">
        <v>150</v>
      </c>
      <c r="AC96">
        <v>150</v>
      </c>
      <c r="AD96">
        <v>150</v>
      </c>
    </row>
    <row r="97" spans="1:34" ht="12.75" dyDescent="0.2" customHeight="1">
      <c r="A97">
        <v>300</v>
      </c>
      <c r="B97">
        <v>300</v>
      </c>
      <c r="C97">
        <v>300</v>
      </c>
      <c r="D97">
        <v>150</v>
      </c>
      <c r="E97">
        <v>150</v>
      </c>
      <c r="F97">
        <v>150</v>
      </c>
      <c r="G97" s="48">
        <v>100</v>
      </c>
      <c r="H97">
        <v>100</v>
      </c>
      <c r="I97">
        <v>150</v>
      </c>
      <c r="J97">
        <v>400</v>
      </c>
      <c r="K97">
        <v>400</v>
      </c>
      <c r="L97">
        <v>300</v>
      </c>
      <c r="M97">
        <v>300</v>
      </c>
      <c r="N97">
        <v>150</v>
      </c>
      <c r="O97">
        <v>150</v>
      </c>
      <c r="P97">
        <v>100</v>
      </c>
      <c r="Q97">
        <v>300</v>
      </c>
      <c r="R97">
        <v>300</v>
      </c>
      <c r="S97">
        <v>150</v>
      </c>
      <c r="T97">
        <v>400</v>
      </c>
      <c r="U97">
        <v>300</v>
      </c>
      <c r="V97">
        <v>300</v>
      </c>
      <c r="W97">
        <v>400</v>
      </c>
      <c r="X97">
        <v>400</v>
      </c>
      <c r="Y97">
        <v>400</v>
      </c>
      <c r="Z97">
        <v>450</v>
      </c>
      <c r="AA97">
        <v>150</v>
      </c>
      <c r="AB97">
        <v>150</v>
      </c>
      <c r="AC97">
        <v>150</v>
      </c>
      <c r="AD97">
        <v>400</v>
      </c>
    </row>
    <row r="98" spans="1:34" ht="12.75" dyDescent="0.2" customHeight="1">
      <c r="A98">
        <v>300</v>
      </c>
      <c r="B98">
        <v>300</v>
      </c>
      <c r="C98">
        <v>300</v>
      </c>
      <c r="D98">
        <v>150</v>
      </c>
      <c r="E98">
        <v>150</v>
      </c>
      <c r="F98">
        <v>150</v>
      </c>
      <c r="G98">
        <v>100</v>
      </c>
      <c r="H98" s="48">
        <v>100</v>
      </c>
      <c r="I98">
        <v>150</v>
      </c>
      <c r="J98">
        <v>400</v>
      </c>
      <c r="K98">
        <v>400</v>
      </c>
      <c r="L98">
        <v>300</v>
      </c>
      <c r="M98">
        <v>300</v>
      </c>
      <c r="N98">
        <v>150</v>
      </c>
      <c r="O98">
        <v>150</v>
      </c>
      <c r="P98">
        <v>100</v>
      </c>
      <c r="Q98">
        <v>300</v>
      </c>
      <c r="R98">
        <v>300</v>
      </c>
      <c r="S98">
        <v>150</v>
      </c>
      <c r="T98">
        <v>400</v>
      </c>
      <c r="U98">
        <v>300</v>
      </c>
      <c r="V98">
        <v>300</v>
      </c>
      <c r="W98">
        <v>400</v>
      </c>
      <c r="X98">
        <v>400</v>
      </c>
      <c r="Y98">
        <v>400</v>
      </c>
      <c r="Z98">
        <v>450</v>
      </c>
      <c r="AA98">
        <v>150</v>
      </c>
      <c r="AB98">
        <v>150</v>
      </c>
      <c r="AC98">
        <v>150</v>
      </c>
      <c r="AD98">
        <v>400</v>
      </c>
    </row>
    <row r="99" spans="1:34" ht="12.75" dyDescent="0.2" customHeight="1">
      <c r="A99">
        <v>150</v>
      </c>
      <c r="B99">
        <v>150</v>
      </c>
      <c r="C99">
        <v>150</v>
      </c>
      <c r="D99">
        <v>300</v>
      </c>
      <c r="E99">
        <v>150</v>
      </c>
      <c r="F99">
        <v>150</v>
      </c>
      <c r="G99">
        <v>150</v>
      </c>
      <c r="H99">
        <v>150</v>
      </c>
      <c r="I99" s="48">
        <v>100</v>
      </c>
      <c r="J99">
        <v>300</v>
      </c>
      <c r="K99">
        <v>300</v>
      </c>
      <c r="L99">
        <v>450</v>
      </c>
      <c r="M99">
        <v>450</v>
      </c>
      <c r="N99">
        <v>150</v>
      </c>
      <c r="O99">
        <v>300</v>
      </c>
      <c r="P99">
        <v>150</v>
      </c>
      <c r="Q99">
        <v>450</v>
      </c>
      <c r="R99">
        <v>450</v>
      </c>
      <c r="S99">
        <v>300</v>
      </c>
      <c r="T99">
        <v>400</v>
      </c>
      <c r="U99">
        <v>150</v>
      </c>
      <c r="V99">
        <v>150</v>
      </c>
      <c r="W99">
        <v>400</v>
      </c>
      <c r="X99">
        <v>300</v>
      </c>
      <c r="Y99">
        <v>300</v>
      </c>
      <c r="Z99">
        <v>300</v>
      </c>
      <c r="AA99">
        <v>400</v>
      </c>
      <c r="AB99">
        <v>400</v>
      </c>
      <c r="AC99">
        <v>400</v>
      </c>
      <c r="AD99">
        <v>450</v>
      </c>
    </row>
    <row r="100" spans="1:34" ht="12.75" dyDescent="0.2" customHeight="1">
      <c r="A100">
        <v>150</v>
      </c>
      <c r="B100">
        <v>150</v>
      </c>
      <c r="C100">
        <v>150</v>
      </c>
      <c r="D100">
        <v>400</v>
      </c>
      <c r="E100">
        <v>400</v>
      </c>
      <c r="F100">
        <v>400</v>
      </c>
      <c r="G100">
        <v>400</v>
      </c>
      <c r="H100">
        <v>400</v>
      </c>
      <c r="I100">
        <v>300</v>
      </c>
      <c r="J100" s="48">
        <v>100</v>
      </c>
      <c r="K100">
        <v>100</v>
      </c>
      <c r="L100">
        <v>450</v>
      </c>
      <c r="M100">
        <v>450</v>
      </c>
      <c r="N100">
        <v>150</v>
      </c>
      <c r="O100">
        <v>300</v>
      </c>
      <c r="P100">
        <v>400</v>
      </c>
      <c r="Q100">
        <v>450</v>
      </c>
      <c r="R100">
        <v>450</v>
      </c>
      <c r="S100">
        <v>400</v>
      </c>
      <c r="T100">
        <v>150</v>
      </c>
      <c r="U100">
        <v>300</v>
      </c>
      <c r="V100">
        <v>300</v>
      </c>
      <c r="W100">
        <v>450</v>
      </c>
      <c r="X100">
        <v>150</v>
      </c>
      <c r="Y100">
        <v>150</v>
      </c>
      <c r="Z100">
        <v>300</v>
      </c>
      <c r="AA100">
        <v>400</v>
      </c>
      <c r="AB100">
        <v>400</v>
      </c>
      <c r="AC100">
        <v>400</v>
      </c>
      <c r="AD100">
        <v>450</v>
      </c>
    </row>
    <row r="101" spans="1:34" ht="12.75" dyDescent="0.2" customHeight="1">
      <c r="A101">
        <v>150</v>
      </c>
      <c r="B101">
        <v>150</v>
      </c>
      <c r="C101">
        <v>150</v>
      </c>
      <c r="D101">
        <v>400</v>
      </c>
      <c r="E101">
        <v>400</v>
      </c>
      <c r="F101">
        <v>400</v>
      </c>
      <c r="G101">
        <v>400</v>
      </c>
      <c r="H101">
        <v>400</v>
      </c>
      <c r="I101">
        <v>300</v>
      </c>
      <c r="J101">
        <v>100</v>
      </c>
      <c r="K101" s="48">
        <v>100</v>
      </c>
      <c r="L101">
        <v>450</v>
      </c>
      <c r="M101">
        <v>450</v>
      </c>
      <c r="N101">
        <v>150</v>
      </c>
      <c r="O101">
        <v>300</v>
      </c>
      <c r="P101">
        <v>400</v>
      </c>
      <c r="Q101">
        <v>450</v>
      </c>
      <c r="R101">
        <v>450</v>
      </c>
      <c r="S101">
        <v>400</v>
      </c>
      <c r="T101">
        <v>150</v>
      </c>
      <c r="U101">
        <v>300</v>
      </c>
      <c r="V101">
        <v>300</v>
      </c>
      <c r="W101">
        <v>450</v>
      </c>
      <c r="X101">
        <v>150</v>
      </c>
      <c r="Y101">
        <v>150</v>
      </c>
      <c r="Z101">
        <v>300</v>
      </c>
      <c r="AA101">
        <v>400</v>
      </c>
      <c r="AB101">
        <v>400</v>
      </c>
      <c r="AC101">
        <v>400</v>
      </c>
      <c r="AD101">
        <v>450</v>
      </c>
    </row>
    <row r="102" spans="1:34" ht="12.75" dyDescent="0.2" customHeight="1">
      <c r="A102">
        <v>450</v>
      </c>
      <c r="B102">
        <v>450</v>
      </c>
      <c r="C102">
        <v>450</v>
      </c>
      <c r="D102">
        <v>150</v>
      </c>
      <c r="E102">
        <v>150</v>
      </c>
      <c r="F102">
        <v>150</v>
      </c>
      <c r="G102">
        <v>300</v>
      </c>
      <c r="H102">
        <v>300</v>
      </c>
      <c r="I102">
        <v>450</v>
      </c>
      <c r="J102">
        <v>450</v>
      </c>
      <c r="K102">
        <v>450</v>
      </c>
      <c r="L102" s="48">
        <v>100</v>
      </c>
      <c r="M102">
        <v>100</v>
      </c>
      <c r="N102">
        <v>300</v>
      </c>
      <c r="O102">
        <v>300</v>
      </c>
      <c r="P102">
        <v>300</v>
      </c>
      <c r="Q102">
        <v>100</v>
      </c>
      <c r="R102">
        <v>100</v>
      </c>
      <c r="S102">
        <v>150</v>
      </c>
      <c r="T102">
        <v>450</v>
      </c>
      <c r="U102">
        <v>400</v>
      </c>
      <c r="V102">
        <v>400</v>
      </c>
      <c r="W102">
        <v>300</v>
      </c>
      <c r="X102">
        <v>150</v>
      </c>
      <c r="Y102">
        <v>400</v>
      </c>
      <c r="Z102">
        <v>450</v>
      </c>
      <c r="AA102">
        <v>150</v>
      </c>
      <c r="AB102">
        <v>300</v>
      </c>
      <c r="AC102">
        <v>300</v>
      </c>
      <c r="AD102">
        <v>400</v>
      </c>
    </row>
    <row r="103" spans="1:34" ht="12.75" dyDescent="0.2" customHeight="1">
      <c r="A103">
        <v>450</v>
      </c>
      <c r="B103">
        <v>450</v>
      </c>
      <c r="C103">
        <v>450</v>
      </c>
      <c r="D103">
        <v>150</v>
      </c>
      <c r="E103">
        <v>150</v>
      </c>
      <c r="F103">
        <v>150</v>
      </c>
      <c r="G103">
        <v>300</v>
      </c>
      <c r="H103">
        <v>300</v>
      </c>
      <c r="I103">
        <v>450</v>
      </c>
      <c r="J103">
        <v>450</v>
      </c>
      <c r="K103">
        <v>450</v>
      </c>
      <c r="L103">
        <v>100</v>
      </c>
      <c r="M103" s="48">
        <v>100</v>
      </c>
      <c r="N103">
        <v>300</v>
      </c>
      <c r="O103">
        <v>300</v>
      </c>
      <c r="P103">
        <v>300</v>
      </c>
      <c r="Q103">
        <v>100</v>
      </c>
      <c r="R103">
        <v>100</v>
      </c>
      <c r="S103">
        <v>150</v>
      </c>
      <c r="T103">
        <v>450</v>
      </c>
      <c r="U103">
        <v>400</v>
      </c>
      <c r="V103">
        <v>400</v>
      </c>
      <c r="W103">
        <v>300</v>
      </c>
      <c r="X103">
        <v>150</v>
      </c>
      <c r="Y103">
        <v>400</v>
      </c>
      <c r="Z103">
        <v>450</v>
      </c>
      <c r="AA103">
        <v>150</v>
      </c>
      <c r="AB103">
        <v>300</v>
      </c>
      <c r="AC103">
        <v>300</v>
      </c>
      <c r="AD103">
        <v>400</v>
      </c>
    </row>
    <row r="104" spans="1:34" ht="12.75" dyDescent="0.2" customHeight="1">
      <c r="A104">
        <v>150</v>
      </c>
      <c r="B104">
        <v>150</v>
      </c>
      <c r="C104">
        <v>150</v>
      </c>
      <c r="D104">
        <v>300</v>
      </c>
      <c r="E104">
        <v>400</v>
      </c>
      <c r="F104">
        <v>400</v>
      </c>
      <c r="G104">
        <v>150</v>
      </c>
      <c r="H104">
        <v>150</v>
      </c>
      <c r="I104">
        <v>150</v>
      </c>
      <c r="J104">
        <v>150</v>
      </c>
      <c r="K104">
        <v>150</v>
      </c>
      <c r="L104">
        <v>300</v>
      </c>
      <c r="M104">
        <v>300</v>
      </c>
      <c r="N104" s="48">
        <v>100</v>
      </c>
      <c r="O104">
        <v>150</v>
      </c>
      <c r="P104">
        <v>150</v>
      </c>
      <c r="Q104">
        <v>300</v>
      </c>
      <c r="R104">
        <v>300</v>
      </c>
      <c r="S104">
        <v>300</v>
      </c>
      <c r="T104">
        <v>300</v>
      </c>
      <c r="U104">
        <v>150</v>
      </c>
      <c r="V104">
        <v>150</v>
      </c>
      <c r="W104">
        <v>450</v>
      </c>
      <c r="X104">
        <v>150</v>
      </c>
      <c r="Y104">
        <v>150</v>
      </c>
      <c r="Z104">
        <v>400</v>
      </c>
      <c r="AA104">
        <v>400</v>
      </c>
      <c r="AB104">
        <v>450</v>
      </c>
      <c r="AC104">
        <v>450</v>
      </c>
      <c r="AD104">
        <v>450</v>
      </c>
    </row>
    <row r="105" spans="1:34" ht="12.75" dyDescent="0.2" customHeight="1">
      <c r="A105">
        <v>300</v>
      </c>
      <c r="B105">
        <v>300</v>
      </c>
      <c r="C105">
        <v>300</v>
      </c>
      <c r="D105">
        <v>150</v>
      </c>
      <c r="E105">
        <v>300</v>
      </c>
      <c r="F105">
        <v>300</v>
      </c>
      <c r="G105">
        <v>150</v>
      </c>
      <c r="H105">
        <v>150</v>
      </c>
      <c r="I105">
        <v>300</v>
      </c>
      <c r="J105">
        <v>300</v>
      </c>
      <c r="K105">
        <v>300</v>
      </c>
      <c r="L105">
        <v>300</v>
      </c>
      <c r="M105">
        <v>300</v>
      </c>
      <c r="N105">
        <v>150</v>
      </c>
      <c r="O105" s="48">
        <v>100</v>
      </c>
      <c r="P105">
        <v>150</v>
      </c>
      <c r="Q105">
        <v>300</v>
      </c>
      <c r="R105">
        <v>300</v>
      </c>
      <c r="S105">
        <v>150</v>
      </c>
      <c r="T105">
        <v>450</v>
      </c>
      <c r="U105">
        <v>150</v>
      </c>
      <c r="V105">
        <v>150</v>
      </c>
      <c r="W105">
        <v>450</v>
      </c>
      <c r="X105">
        <v>150</v>
      </c>
      <c r="Y105">
        <v>400</v>
      </c>
      <c r="Z105">
        <v>450</v>
      </c>
      <c r="AA105">
        <v>150</v>
      </c>
      <c r="AB105">
        <v>150</v>
      </c>
      <c r="AC105">
        <v>150</v>
      </c>
      <c r="AD105">
        <v>450</v>
      </c>
    </row>
    <row r="106" spans="1:34" ht="12.75" dyDescent="0.2" customHeight="1">
      <c r="A106">
        <v>400</v>
      </c>
      <c r="B106">
        <v>400</v>
      </c>
      <c r="C106">
        <v>400</v>
      </c>
      <c r="D106">
        <v>150</v>
      </c>
      <c r="E106">
        <v>300</v>
      </c>
      <c r="F106">
        <v>300</v>
      </c>
      <c r="G106">
        <v>100</v>
      </c>
      <c r="H106">
        <v>100</v>
      </c>
      <c r="I106">
        <v>150</v>
      </c>
      <c r="J106">
        <v>400</v>
      </c>
      <c r="K106">
        <v>400</v>
      </c>
      <c r="L106">
        <v>300</v>
      </c>
      <c r="M106">
        <v>300</v>
      </c>
      <c r="N106">
        <v>150</v>
      </c>
      <c r="O106">
        <v>150</v>
      </c>
      <c r="P106" s="48">
        <v>100</v>
      </c>
      <c r="Q106">
        <v>100</v>
      </c>
      <c r="R106">
        <v>300</v>
      </c>
      <c r="S106">
        <v>150</v>
      </c>
      <c r="T106">
        <v>400</v>
      </c>
      <c r="U106">
        <v>150</v>
      </c>
      <c r="V106">
        <v>150</v>
      </c>
      <c r="W106">
        <v>400</v>
      </c>
      <c r="X106">
        <v>400</v>
      </c>
      <c r="Y106">
        <v>400</v>
      </c>
      <c r="Z106">
        <v>450</v>
      </c>
      <c r="AA106">
        <v>150</v>
      </c>
      <c r="AB106">
        <v>150</v>
      </c>
      <c r="AC106">
        <v>150</v>
      </c>
      <c r="AD106">
        <v>400</v>
      </c>
    </row>
    <row r="107" spans="1:34" ht="12.75" dyDescent="0.2" customHeight="1">
      <c r="A107">
        <v>450</v>
      </c>
      <c r="B107">
        <v>450</v>
      </c>
      <c r="C107">
        <v>450</v>
      </c>
      <c r="D107">
        <v>150</v>
      </c>
      <c r="E107">
        <v>150</v>
      </c>
      <c r="F107">
        <v>150</v>
      </c>
      <c r="G107">
        <v>300</v>
      </c>
      <c r="H107">
        <v>300</v>
      </c>
      <c r="I107">
        <v>450</v>
      </c>
      <c r="J107">
        <v>450</v>
      </c>
      <c r="K107">
        <v>450</v>
      </c>
      <c r="L107">
        <v>100</v>
      </c>
      <c r="M107">
        <v>100</v>
      </c>
      <c r="N107">
        <v>300</v>
      </c>
      <c r="O107">
        <v>300</v>
      </c>
      <c r="P107">
        <v>100</v>
      </c>
      <c r="Q107" s="48">
        <v>100</v>
      </c>
      <c r="R107">
        <v>100</v>
      </c>
      <c r="S107">
        <v>150</v>
      </c>
      <c r="T107">
        <v>450</v>
      </c>
      <c r="U107">
        <v>400</v>
      </c>
      <c r="V107">
        <v>400</v>
      </c>
      <c r="W107">
        <v>300</v>
      </c>
      <c r="X107">
        <v>150</v>
      </c>
      <c r="Y107">
        <v>400</v>
      </c>
      <c r="Z107">
        <v>450</v>
      </c>
      <c r="AA107">
        <v>150</v>
      </c>
      <c r="AB107">
        <v>300</v>
      </c>
      <c r="AC107">
        <v>300</v>
      </c>
      <c r="AD107">
        <v>400</v>
      </c>
    </row>
    <row r="108" spans="1:34" ht="12.75" dyDescent="0.2" customHeight="1">
      <c r="A108">
        <v>450</v>
      </c>
      <c r="B108">
        <v>450</v>
      </c>
      <c r="C108">
        <v>450</v>
      </c>
      <c r="D108">
        <v>150</v>
      </c>
      <c r="E108">
        <v>150</v>
      </c>
      <c r="F108">
        <v>150</v>
      </c>
      <c r="G108">
        <v>300</v>
      </c>
      <c r="H108">
        <v>300</v>
      </c>
      <c r="I108">
        <v>450</v>
      </c>
      <c r="J108">
        <v>450</v>
      </c>
      <c r="K108">
        <v>450</v>
      </c>
      <c r="L108">
        <v>100</v>
      </c>
      <c r="M108">
        <v>100</v>
      </c>
      <c r="N108">
        <v>300</v>
      </c>
      <c r="O108">
        <v>300</v>
      </c>
      <c r="P108">
        <v>300</v>
      </c>
      <c r="Q108">
        <v>100</v>
      </c>
      <c r="R108" s="48">
        <v>100</v>
      </c>
      <c r="S108">
        <v>150</v>
      </c>
      <c r="T108">
        <v>450</v>
      </c>
      <c r="U108">
        <v>450</v>
      </c>
      <c r="V108">
        <v>450</v>
      </c>
      <c r="W108">
        <v>300</v>
      </c>
      <c r="X108">
        <v>150</v>
      </c>
      <c r="Y108">
        <v>400</v>
      </c>
      <c r="Z108">
        <v>450</v>
      </c>
      <c r="AA108">
        <v>150</v>
      </c>
      <c r="AB108">
        <v>300</v>
      </c>
      <c r="AC108">
        <v>300</v>
      </c>
      <c r="AD108">
        <v>400</v>
      </c>
    </row>
    <row r="109" spans="1:34" ht="12.75" dyDescent="0.2" customHeight="1">
      <c r="A109">
        <v>450</v>
      </c>
      <c r="B109">
        <v>450</v>
      </c>
      <c r="C109">
        <v>450</v>
      </c>
      <c r="D109">
        <v>100</v>
      </c>
      <c r="E109">
        <v>150</v>
      </c>
      <c r="F109">
        <v>150</v>
      </c>
      <c r="G109">
        <v>150</v>
      </c>
      <c r="H109">
        <v>150</v>
      </c>
      <c r="I109">
        <v>300</v>
      </c>
      <c r="J109">
        <v>400</v>
      </c>
      <c r="K109">
        <v>400</v>
      </c>
      <c r="L109">
        <v>150</v>
      </c>
      <c r="M109">
        <v>150</v>
      </c>
      <c r="N109">
        <v>300</v>
      </c>
      <c r="O109">
        <v>150</v>
      </c>
      <c r="P109">
        <v>150</v>
      </c>
      <c r="Q109">
        <v>150</v>
      </c>
      <c r="R109">
        <v>150</v>
      </c>
      <c r="S109" s="48">
        <v>100</v>
      </c>
      <c r="T109">
        <v>450</v>
      </c>
      <c r="U109">
        <v>300</v>
      </c>
      <c r="V109">
        <v>300</v>
      </c>
      <c r="W109">
        <v>150</v>
      </c>
      <c r="X109">
        <v>300</v>
      </c>
      <c r="Y109">
        <v>400</v>
      </c>
      <c r="Z109">
        <v>450</v>
      </c>
      <c r="AA109">
        <v>150</v>
      </c>
      <c r="AB109">
        <v>150</v>
      </c>
      <c r="AC109">
        <v>150</v>
      </c>
      <c r="AD109">
        <v>150</v>
      </c>
    </row>
    <row r="110" spans="1:34" ht="12.75" dyDescent="0.2" customHeight="1">
      <c r="A110">
        <v>150</v>
      </c>
      <c r="B110">
        <v>150</v>
      </c>
      <c r="C110">
        <v>150</v>
      </c>
      <c r="D110">
        <v>450</v>
      </c>
      <c r="E110">
        <v>450</v>
      </c>
      <c r="F110">
        <v>450</v>
      </c>
      <c r="G110">
        <v>400</v>
      </c>
      <c r="H110">
        <v>400</v>
      </c>
      <c r="I110">
        <v>400</v>
      </c>
      <c r="J110">
        <v>150</v>
      </c>
      <c r="K110">
        <v>150</v>
      </c>
      <c r="L110">
        <v>450</v>
      </c>
      <c r="M110">
        <v>450</v>
      </c>
      <c r="N110">
        <v>300</v>
      </c>
      <c r="O110">
        <v>450</v>
      </c>
      <c r="P110">
        <v>400</v>
      </c>
      <c r="Q110">
        <v>450</v>
      </c>
      <c r="R110">
        <v>450</v>
      </c>
      <c r="S110">
        <v>450</v>
      </c>
      <c r="T110" s="48">
        <v>100</v>
      </c>
      <c r="U110">
        <v>400</v>
      </c>
      <c r="V110">
        <v>400</v>
      </c>
      <c r="W110">
        <v>450</v>
      </c>
      <c r="X110">
        <v>300</v>
      </c>
      <c r="Y110">
        <v>150</v>
      </c>
      <c r="Z110">
        <v>150</v>
      </c>
      <c r="AA110">
        <v>400</v>
      </c>
      <c r="AB110">
        <v>400</v>
      </c>
      <c r="AC110">
        <v>400</v>
      </c>
      <c r="AD110">
        <v>450</v>
      </c>
    </row>
    <row r="111" spans="1:34" ht="12.75" dyDescent="0.2" customHeight="1">
      <c r="A111">
        <v>150</v>
      </c>
      <c r="B111">
        <v>150</v>
      </c>
      <c r="C111">
        <v>150</v>
      </c>
      <c r="D111">
        <v>300</v>
      </c>
      <c r="E111">
        <v>300</v>
      </c>
      <c r="F111">
        <v>300</v>
      </c>
      <c r="G111">
        <v>150</v>
      </c>
      <c r="H111">
        <v>150</v>
      </c>
      <c r="I111">
        <v>150</v>
      </c>
      <c r="J111">
        <v>300</v>
      </c>
      <c r="K111">
        <v>300</v>
      </c>
      <c r="L111">
        <v>400</v>
      </c>
      <c r="M111">
        <v>400</v>
      </c>
      <c r="N111">
        <v>150</v>
      </c>
      <c r="O111">
        <v>150</v>
      </c>
      <c r="P111">
        <v>150</v>
      </c>
      <c r="Q111">
        <v>400</v>
      </c>
      <c r="R111">
        <v>400</v>
      </c>
      <c r="S111">
        <v>300</v>
      </c>
      <c r="T111">
        <v>400</v>
      </c>
      <c r="U111" s="48">
        <v>100</v>
      </c>
      <c r="V111">
        <v>100</v>
      </c>
      <c r="W111">
        <v>400</v>
      </c>
      <c r="X111">
        <v>300</v>
      </c>
      <c r="Y111">
        <v>300</v>
      </c>
      <c r="Z111">
        <v>450</v>
      </c>
      <c r="AA111">
        <v>400</v>
      </c>
      <c r="AB111">
        <v>150</v>
      </c>
      <c r="AC111">
        <v>150</v>
      </c>
      <c r="AD111">
        <v>450</v>
      </c>
    </row>
    <row r="112" spans="1:34" ht="12.75" dyDescent="0.2" customHeight="1">
      <c r="A112">
        <v>150</v>
      </c>
      <c r="B112">
        <v>150</v>
      </c>
      <c r="C112">
        <v>150</v>
      </c>
      <c r="D112">
        <v>300</v>
      </c>
      <c r="E112">
        <v>300</v>
      </c>
      <c r="F112">
        <v>300</v>
      </c>
      <c r="G112">
        <v>150</v>
      </c>
      <c r="H112">
        <v>150</v>
      </c>
      <c r="I112">
        <v>150</v>
      </c>
      <c r="J112">
        <v>300</v>
      </c>
      <c r="K112">
        <v>300</v>
      </c>
      <c r="L112">
        <v>400</v>
      </c>
      <c r="M112">
        <v>400</v>
      </c>
      <c r="N112">
        <v>150</v>
      </c>
      <c r="O112">
        <v>150</v>
      </c>
      <c r="P112">
        <v>150</v>
      </c>
      <c r="Q112">
        <v>400</v>
      </c>
      <c r="R112">
        <v>400</v>
      </c>
      <c r="S112">
        <v>300</v>
      </c>
      <c r="T112">
        <v>400</v>
      </c>
      <c r="U112">
        <v>100</v>
      </c>
      <c r="V112" s="48">
        <v>100</v>
      </c>
      <c r="W112">
        <v>400</v>
      </c>
      <c r="X112">
        <v>300</v>
      </c>
      <c r="Y112">
        <v>300</v>
      </c>
      <c r="Z112">
        <v>450</v>
      </c>
      <c r="AA112">
        <v>400</v>
      </c>
      <c r="AB112">
        <v>150</v>
      </c>
      <c r="AC112">
        <v>150</v>
      </c>
      <c r="AD112">
        <v>450</v>
      </c>
    </row>
    <row r="113" spans="1:34" ht="12.75" dyDescent="0.2" customHeight="1">
      <c r="A113">
        <v>450</v>
      </c>
      <c r="B113">
        <v>450</v>
      </c>
      <c r="C113">
        <v>450</v>
      </c>
      <c r="D113">
        <v>150</v>
      </c>
      <c r="E113">
        <v>150</v>
      </c>
      <c r="F113">
        <v>150</v>
      </c>
      <c r="G113">
        <v>400</v>
      </c>
      <c r="H113">
        <v>400</v>
      </c>
      <c r="I113">
        <v>400</v>
      </c>
      <c r="J113">
        <v>450</v>
      </c>
      <c r="K113">
        <v>450</v>
      </c>
      <c r="L113">
        <v>300</v>
      </c>
      <c r="M113">
        <v>300</v>
      </c>
      <c r="N113">
        <v>450</v>
      </c>
      <c r="O113">
        <v>450</v>
      </c>
      <c r="P113">
        <v>400</v>
      </c>
      <c r="Q113">
        <v>300</v>
      </c>
      <c r="R113">
        <v>300</v>
      </c>
      <c r="S113">
        <v>150</v>
      </c>
      <c r="T113">
        <v>450</v>
      </c>
      <c r="U113">
        <v>400</v>
      </c>
      <c r="V113">
        <v>400</v>
      </c>
      <c r="W113" s="48">
        <v>100</v>
      </c>
      <c r="X113">
        <v>400</v>
      </c>
      <c r="Y113">
        <v>450</v>
      </c>
      <c r="Z113">
        <v>450</v>
      </c>
      <c r="AA113">
        <v>300</v>
      </c>
      <c r="AB113">
        <v>150</v>
      </c>
      <c r="AC113">
        <v>150</v>
      </c>
      <c r="AD113">
        <v>150</v>
      </c>
    </row>
    <row r="114" spans="1:34" ht="12.75" dyDescent="0.2" customHeight="1">
      <c r="A114">
        <v>300</v>
      </c>
      <c r="B114">
        <v>300</v>
      </c>
      <c r="C114">
        <v>300</v>
      </c>
      <c r="D114">
        <v>300</v>
      </c>
      <c r="E114">
        <v>400</v>
      </c>
      <c r="F114">
        <v>400</v>
      </c>
      <c r="G114">
        <v>400</v>
      </c>
      <c r="H114">
        <v>400</v>
      </c>
      <c r="I114">
        <v>300</v>
      </c>
      <c r="J114">
        <v>150</v>
      </c>
      <c r="K114">
        <v>150</v>
      </c>
      <c r="L114">
        <v>150</v>
      </c>
      <c r="M114">
        <v>150</v>
      </c>
      <c r="N114">
        <v>150</v>
      </c>
      <c r="O114">
        <v>150</v>
      </c>
      <c r="P114">
        <v>400</v>
      </c>
      <c r="Q114">
        <v>150</v>
      </c>
      <c r="R114">
        <v>150</v>
      </c>
      <c r="S114">
        <v>300</v>
      </c>
      <c r="T114">
        <v>300</v>
      </c>
      <c r="U114">
        <v>300</v>
      </c>
      <c r="V114">
        <v>300</v>
      </c>
      <c r="W114">
        <v>400</v>
      </c>
      <c r="X114" s="48">
        <v>100</v>
      </c>
      <c r="Y114">
        <v>150</v>
      </c>
      <c r="Z114">
        <v>400</v>
      </c>
      <c r="AA114">
        <v>150</v>
      </c>
      <c r="AB114">
        <v>400</v>
      </c>
      <c r="AC114">
        <v>400</v>
      </c>
      <c r="AD114">
        <v>450</v>
      </c>
    </row>
    <row r="115" spans="1:34" ht="12.75" dyDescent="0.2" customHeight="1">
      <c r="A115">
        <v>150</v>
      </c>
      <c r="B115">
        <v>150</v>
      </c>
      <c r="C115">
        <v>150</v>
      </c>
      <c r="D115">
        <v>400</v>
      </c>
      <c r="E115">
        <v>400</v>
      </c>
      <c r="F115">
        <v>400</v>
      </c>
      <c r="G115">
        <v>400</v>
      </c>
      <c r="H115">
        <v>400</v>
      </c>
      <c r="I115">
        <v>300</v>
      </c>
      <c r="J115">
        <v>150</v>
      </c>
      <c r="K115">
        <v>150</v>
      </c>
      <c r="L115">
        <v>400</v>
      </c>
      <c r="M115">
        <v>400</v>
      </c>
      <c r="N115">
        <v>150</v>
      </c>
      <c r="O115">
        <v>400</v>
      </c>
      <c r="P115">
        <v>400</v>
      </c>
      <c r="Q115">
        <v>400</v>
      </c>
      <c r="R115">
        <v>400</v>
      </c>
      <c r="S115">
        <v>400</v>
      </c>
      <c r="T115">
        <v>150</v>
      </c>
      <c r="U115">
        <v>300</v>
      </c>
      <c r="V115">
        <v>300</v>
      </c>
      <c r="W115">
        <v>450</v>
      </c>
      <c r="X115">
        <v>150</v>
      </c>
      <c r="Y115" s="48">
        <v>100</v>
      </c>
      <c r="Z115">
        <v>300</v>
      </c>
      <c r="AA115">
        <v>400</v>
      </c>
      <c r="AB115">
        <v>400</v>
      </c>
      <c r="AC115">
        <v>400</v>
      </c>
      <c r="AD115">
        <v>450</v>
      </c>
    </row>
    <row r="116" spans="1:34" ht="12.75" dyDescent="0.2" customHeight="1">
      <c r="A116">
        <v>150</v>
      </c>
      <c r="B116">
        <v>150</v>
      </c>
      <c r="C116">
        <v>150</v>
      </c>
      <c r="D116">
        <v>450</v>
      </c>
      <c r="E116">
        <v>450</v>
      </c>
      <c r="F116">
        <v>450</v>
      </c>
      <c r="G116">
        <v>450</v>
      </c>
      <c r="H116">
        <v>450</v>
      </c>
      <c r="I116">
        <v>300</v>
      </c>
      <c r="J116">
        <v>300</v>
      </c>
      <c r="K116">
        <v>300</v>
      </c>
      <c r="L116">
        <v>450</v>
      </c>
      <c r="M116">
        <v>450</v>
      </c>
      <c r="N116">
        <v>400</v>
      </c>
      <c r="O116">
        <v>450</v>
      </c>
      <c r="P116">
        <v>450</v>
      </c>
      <c r="Q116">
        <v>450</v>
      </c>
      <c r="R116">
        <v>450</v>
      </c>
      <c r="S116">
        <v>450</v>
      </c>
      <c r="T116">
        <v>150</v>
      </c>
      <c r="U116">
        <v>450</v>
      </c>
      <c r="V116">
        <v>450</v>
      </c>
      <c r="W116">
        <v>450</v>
      </c>
      <c r="X116">
        <v>400</v>
      </c>
      <c r="Y116">
        <v>300</v>
      </c>
      <c r="Z116" s="48">
        <v>100</v>
      </c>
      <c r="AA116">
        <v>450</v>
      </c>
      <c r="AB116">
        <v>450</v>
      </c>
      <c r="AC116">
        <v>450</v>
      </c>
      <c r="AD116">
        <v>450</v>
      </c>
    </row>
    <row r="117" spans="1:34" ht="12.75" dyDescent="0.2" customHeight="1">
      <c r="A117">
        <v>150</v>
      </c>
      <c r="B117">
        <v>150</v>
      </c>
      <c r="C117">
        <v>150</v>
      </c>
      <c r="D117">
        <v>150</v>
      </c>
      <c r="E117">
        <v>150</v>
      </c>
      <c r="F117">
        <v>150</v>
      </c>
      <c r="G117">
        <v>150</v>
      </c>
      <c r="H117">
        <v>150</v>
      </c>
      <c r="I117">
        <v>400</v>
      </c>
      <c r="J117">
        <v>400</v>
      </c>
      <c r="K117">
        <v>400</v>
      </c>
      <c r="L117">
        <v>150</v>
      </c>
      <c r="M117">
        <v>150</v>
      </c>
      <c r="N117">
        <v>400</v>
      </c>
      <c r="O117">
        <v>150</v>
      </c>
      <c r="P117">
        <v>150</v>
      </c>
      <c r="Q117">
        <v>150</v>
      </c>
      <c r="R117">
        <v>150</v>
      </c>
      <c r="S117">
        <v>150</v>
      </c>
      <c r="T117">
        <v>400</v>
      </c>
      <c r="U117">
        <v>400</v>
      </c>
      <c r="V117">
        <v>400</v>
      </c>
      <c r="W117">
        <v>300</v>
      </c>
      <c r="X117">
        <v>150</v>
      </c>
      <c r="Y117">
        <v>400</v>
      </c>
      <c r="Z117">
        <v>450</v>
      </c>
      <c r="AA117" s="48">
        <v>100</v>
      </c>
      <c r="AB117">
        <v>150</v>
      </c>
      <c r="AC117">
        <v>150</v>
      </c>
      <c r="AD117">
        <v>300</v>
      </c>
    </row>
    <row r="118" spans="1:34" ht="12.75" dyDescent="0.2" customHeight="1">
      <c r="A118">
        <v>400</v>
      </c>
      <c r="B118">
        <v>400</v>
      </c>
      <c r="C118">
        <v>400</v>
      </c>
      <c r="D118">
        <v>150</v>
      </c>
      <c r="E118">
        <v>150</v>
      </c>
      <c r="F118">
        <v>150</v>
      </c>
      <c r="G118">
        <v>150</v>
      </c>
      <c r="H118">
        <v>150</v>
      </c>
      <c r="I118">
        <v>400</v>
      </c>
      <c r="J118">
        <v>400</v>
      </c>
      <c r="K118">
        <v>400</v>
      </c>
      <c r="L118">
        <v>300</v>
      </c>
      <c r="M118">
        <v>300</v>
      </c>
      <c r="N118">
        <v>450</v>
      </c>
      <c r="O118">
        <v>150</v>
      </c>
      <c r="P118">
        <v>150</v>
      </c>
      <c r="Q118">
        <v>300</v>
      </c>
      <c r="R118">
        <v>300</v>
      </c>
      <c r="S118">
        <v>150</v>
      </c>
      <c r="T118">
        <v>400</v>
      </c>
      <c r="U118">
        <v>150</v>
      </c>
      <c r="V118">
        <v>150</v>
      </c>
      <c r="W118">
        <v>150</v>
      </c>
      <c r="X118">
        <v>400</v>
      </c>
      <c r="Y118">
        <v>400</v>
      </c>
      <c r="Z118">
        <v>450</v>
      </c>
      <c r="AA118">
        <v>150</v>
      </c>
      <c r="AB118" s="48">
        <v>100</v>
      </c>
      <c r="AC118">
        <v>100</v>
      </c>
      <c r="AD118">
        <v>300</v>
      </c>
    </row>
    <row r="119" spans="1:34" ht="12.75" dyDescent="0.2" customHeight="1">
      <c r="A119">
        <v>400</v>
      </c>
      <c r="B119">
        <v>400</v>
      </c>
      <c r="C119">
        <v>400</v>
      </c>
      <c r="D119">
        <v>150</v>
      </c>
      <c r="E119">
        <v>150</v>
      </c>
      <c r="F119">
        <v>150</v>
      </c>
      <c r="G119">
        <v>150</v>
      </c>
      <c r="H119">
        <v>150</v>
      </c>
      <c r="I119">
        <v>400</v>
      </c>
      <c r="J119">
        <v>400</v>
      </c>
      <c r="K119">
        <v>400</v>
      </c>
      <c r="L119">
        <v>300</v>
      </c>
      <c r="M119">
        <v>300</v>
      </c>
      <c r="N119">
        <v>450</v>
      </c>
      <c r="O119">
        <v>150</v>
      </c>
      <c r="P119">
        <v>150</v>
      </c>
      <c r="Q119">
        <v>300</v>
      </c>
      <c r="R119">
        <v>300</v>
      </c>
      <c r="S119">
        <v>150</v>
      </c>
      <c r="T119">
        <v>400</v>
      </c>
      <c r="U119">
        <v>150</v>
      </c>
      <c r="V119">
        <v>150</v>
      </c>
      <c r="W119">
        <v>150</v>
      </c>
      <c r="X119">
        <v>400</v>
      </c>
      <c r="Y119">
        <v>400</v>
      </c>
      <c r="Z119">
        <v>450</v>
      </c>
      <c r="AA119">
        <v>150</v>
      </c>
      <c r="AB119">
        <v>100</v>
      </c>
      <c r="AC119" s="48">
        <v>100</v>
      </c>
      <c r="AD119">
        <v>300</v>
      </c>
    </row>
    <row r="120" spans="1:34" ht="12.75" dyDescent="0.2" customHeight="1">
      <c r="A120">
        <v>450</v>
      </c>
      <c r="B120">
        <v>450</v>
      </c>
      <c r="C120">
        <v>450</v>
      </c>
      <c r="D120">
        <v>150</v>
      </c>
      <c r="E120">
        <v>150</v>
      </c>
      <c r="F120">
        <v>150</v>
      </c>
      <c r="G120">
        <v>400</v>
      </c>
      <c r="H120">
        <v>400</v>
      </c>
      <c r="I120">
        <v>450</v>
      </c>
      <c r="J120">
        <v>450</v>
      </c>
      <c r="K120">
        <v>450</v>
      </c>
      <c r="L120">
        <v>400</v>
      </c>
      <c r="M120">
        <v>400</v>
      </c>
      <c r="N120">
        <v>450</v>
      </c>
      <c r="O120">
        <v>450</v>
      </c>
      <c r="P120">
        <v>400</v>
      </c>
      <c r="Q120">
        <v>400</v>
      </c>
      <c r="R120">
        <v>400</v>
      </c>
      <c r="S120">
        <v>150</v>
      </c>
      <c r="T120">
        <v>450</v>
      </c>
      <c r="U120">
        <v>450</v>
      </c>
      <c r="V120">
        <v>450</v>
      </c>
      <c r="W120">
        <v>150</v>
      </c>
      <c r="X120">
        <v>450</v>
      </c>
      <c r="Y120">
        <v>450</v>
      </c>
      <c r="Z120">
        <v>450</v>
      </c>
      <c r="AA120">
        <v>300</v>
      </c>
      <c r="AB120">
        <v>300</v>
      </c>
      <c r="AC120">
        <v>300</v>
      </c>
      <c r="AD120" s="48">
        <v>100</v>
      </c>
    </row>
    <row r="122" spans="1:34" ht="12.75" dyDescent="0.2" customHeight="1">
      <c r="A122" s="48">
        <v>150</v>
      </c>
      <c r="B122">
        <v>200</v>
      </c>
      <c r="C122">
        <v>200</v>
      </c>
      <c r="D122">
        <v>650</v>
      </c>
      <c r="E122">
        <v>650</v>
      </c>
      <c r="F122">
        <v>650</v>
      </c>
      <c r="G122">
        <v>500</v>
      </c>
      <c r="H122">
        <v>500</v>
      </c>
      <c r="I122">
        <v>200</v>
      </c>
      <c r="J122">
        <v>200</v>
      </c>
      <c r="K122">
        <v>200</v>
      </c>
      <c r="L122">
        <v>650</v>
      </c>
      <c r="M122">
        <v>650</v>
      </c>
      <c r="N122">
        <v>200</v>
      </c>
      <c r="O122">
        <v>250</v>
      </c>
      <c r="P122">
        <v>500</v>
      </c>
      <c r="Q122">
        <v>650</v>
      </c>
      <c r="R122">
        <v>650</v>
      </c>
      <c r="S122">
        <v>650</v>
      </c>
      <c r="T122">
        <v>200</v>
      </c>
      <c r="U122">
        <v>200</v>
      </c>
      <c r="V122">
        <v>200</v>
      </c>
      <c r="W122">
        <v>650</v>
      </c>
      <c r="X122">
        <v>250</v>
      </c>
      <c r="Y122">
        <v>200</v>
      </c>
      <c r="Z122">
        <v>200</v>
      </c>
      <c r="AA122">
        <v>200</v>
      </c>
      <c r="AB122">
        <v>500</v>
      </c>
      <c r="AC122">
        <v>500</v>
      </c>
      <c r="AD122">
        <v>650</v>
      </c>
    </row>
    <row r="123" spans="1:34" ht="12.75" dyDescent="0.2" customHeight="1">
      <c r="A123">
        <v>200</v>
      </c>
      <c r="B123" s="48">
        <v>150</v>
      </c>
      <c r="C123">
        <v>200</v>
      </c>
      <c r="D123">
        <v>650</v>
      </c>
      <c r="E123">
        <v>650</v>
      </c>
      <c r="F123">
        <v>650</v>
      </c>
      <c r="G123">
        <v>500</v>
      </c>
      <c r="H123">
        <v>500</v>
      </c>
      <c r="I123">
        <v>200</v>
      </c>
      <c r="J123">
        <v>200</v>
      </c>
      <c r="K123">
        <v>200</v>
      </c>
      <c r="L123">
        <v>650</v>
      </c>
      <c r="M123">
        <v>650</v>
      </c>
      <c r="N123">
        <v>200</v>
      </c>
      <c r="O123">
        <v>250</v>
      </c>
      <c r="P123">
        <v>500</v>
      </c>
      <c r="Q123">
        <v>650</v>
      </c>
      <c r="R123">
        <v>650</v>
      </c>
      <c r="S123">
        <v>650</v>
      </c>
      <c r="T123">
        <v>200</v>
      </c>
      <c r="U123">
        <v>250</v>
      </c>
      <c r="V123">
        <v>250</v>
      </c>
      <c r="W123">
        <v>650</v>
      </c>
      <c r="X123">
        <v>250</v>
      </c>
      <c r="Y123">
        <v>200</v>
      </c>
      <c r="Z123">
        <v>200</v>
      </c>
      <c r="AA123">
        <v>200</v>
      </c>
      <c r="AB123">
        <v>500</v>
      </c>
      <c r="AC123">
        <v>500</v>
      </c>
      <c r="AD123">
        <v>650</v>
      </c>
    </row>
    <row r="124" spans="1:34" ht="12.75" dyDescent="0.2" customHeight="1">
      <c r="A124">
        <v>200</v>
      </c>
      <c r="B124">
        <v>200</v>
      </c>
      <c r="C124" s="48">
        <v>150</v>
      </c>
      <c r="D124">
        <v>650</v>
      </c>
      <c r="E124">
        <v>650</v>
      </c>
      <c r="F124">
        <v>650</v>
      </c>
      <c r="G124">
        <v>500</v>
      </c>
      <c r="H124">
        <v>500</v>
      </c>
      <c r="I124">
        <v>200</v>
      </c>
      <c r="J124">
        <v>200</v>
      </c>
      <c r="K124">
        <v>200</v>
      </c>
      <c r="L124">
        <v>650</v>
      </c>
      <c r="M124">
        <v>650</v>
      </c>
      <c r="N124">
        <v>200</v>
      </c>
      <c r="O124">
        <v>250</v>
      </c>
      <c r="P124">
        <v>500</v>
      </c>
      <c r="Q124">
        <v>650</v>
      </c>
      <c r="R124">
        <v>650</v>
      </c>
      <c r="S124">
        <v>650</v>
      </c>
      <c r="T124">
        <v>200</v>
      </c>
      <c r="U124">
        <v>200</v>
      </c>
      <c r="V124">
        <v>200</v>
      </c>
      <c r="W124">
        <v>650</v>
      </c>
      <c r="X124">
        <v>250</v>
      </c>
      <c r="Y124">
        <v>200</v>
      </c>
      <c r="Z124">
        <v>200</v>
      </c>
      <c r="AA124">
        <v>200</v>
      </c>
      <c r="AB124">
        <v>500</v>
      </c>
      <c r="AC124">
        <v>500</v>
      </c>
      <c r="AD124">
        <v>650</v>
      </c>
    </row>
    <row r="125" spans="1:34" ht="12.75" dyDescent="0.2" customHeight="1">
      <c r="A125">
        <v>650</v>
      </c>
      <c r="B125">
        <v>650</v>
      </c>
      <c r="C125">
        <v>650</v>
      </c>
      <c r="D125" s="48">
        <v>150</v>
      </c>
      <c r="E125">
        <v>200</v>
      </c>
      <c r="F125">
        <v>200</v>
      </c>
      <c r="G125">
        <v>200</v>
      </c>
      <c r="H125">
        <v>200</v>
      </c>
      <c r="I125">
        <v>250</v>
      </c>
      <c r="J125">
        <v>500</v>
      </c>
      <c r="K125">
        <v>500</v>
      </c>
      <c r="L125">
        <v>200</v>
      </c>
      <c r="M125">
        <v>200</v>
      </c>
      <c r="N125">
        <v>250</v>
      </c>
      <c r="O125">
        <v>200</v>
      </c>
      <c r="P125">
        <v>200</v>
      </c>
      <c r="Q125">
        <v>200</v>
      </c>
      <c r="R125">
        <v>200</v>
      </c>
      <c r="S125">
        <v>150</v>
      </c>
      <c r="T125">
        <v>650</v>
      </c>
      <c r="U125">
        <v>250</v>
      </c>
      <c r="V125">
        <v>250</v>
      </c>
      <c r="W125">
        <v>200</v>
      </c>
      <c r="X125">
        <v>250</v>
      </c>
      <c r="Y125">
        <v>500</v>
      </c>
      <c r="Z125">
        <v>650</v>
      </c>
      <c r="AA125">
        <v>200</v>
      </c>
      <c r="AB125">
        <v>200</v>
      </c>
      <c r="AC125">
        <v>200</v>
      </c>
      <c r="AD125">
        <v>200</v>
      </c>
    </row>
    <row r="126" spans="1:34" ht="12.75" dyDescent="0.2" customHeight="1">
      <c r="A126">
        <v>650</v>
      </c>
      <c r="B126">
        <v>650</v>
      </c>
      <c r="C126">
        <v>650</v>
      </c>
      <c r="D126">
        <v>200</v>
      </c>
      <c r="E126" s="48">
        <v>150</v>
      </c>
      <c r="F126">
        <v>150</v>
      </c>
      <c r="G126">
        <v>250</v>
      </c>
      <c r="H126">
        <v>250</v>
      </c>
      <c r="I126">
        <v>200</v>
      </c>
      <c r="J126">
        <v>500</v>
      </c>
      <c r="K126">
        <v>500</v>
      </c>
      <c r="L126">
        <v>200</v>
      </c>
      <c r="M126">
        <v>200</v>
      </c>
      <c r="N126">
        <v>500</v>
      </c>
      <c r="O126">
        <v>250</v>
      </c>
      <c r="P126">
        <v>250</v>
      </c>
      <c r="Q126">
        <v>200</v>
      </c>
      <c r="R126">
        <v>200</v>
      </c>
      <c r="S126">
        <v>200</v>
      </c>
      <c r="T126">
        <v>650</v>
      </c>
      <c r="U126">
        <v>250</v>
      </c>
      <c r="V126">
        <v>250</v>
      </c>
      <c r="W126">
        <v>200</v>
      </c>
      <c r="X126">
        <v>500</v>
      </c>
      <c r="Y126">
        <v>500</v>
      </c>
      <c r="Z126">
        <v>650</v>
      </c>
      <c r="AA126">
        <v>200</v>
      </c>
      <c r="AB126">
        <v>200</v>
      </c>
      <c r="AC126">
        <v>200</v>
      </c>
      <c r="AD126">
        <v>200</v>
      </c>
    </row>
    <row r="127" spans="1:34" ht="12.75" dyDescent="0.2" customHeight="1">
      <c r="A127">
        <v>650</v>
      </c>
      <c r="B127">
        <v>650</v>
      </c>
      <c r="C127">
        <v>650</v>
      </c>
      <c r="D127">
        <v>200</v>
      </c>
      <c r="E127">
        <v>150</v>
      </c>
      <c r="F127" s="48">
        <v>150</v>
      </c>
      <c r="G127">
        <v>250</v>
      </c>
      <c r="H127">
        <v>250</v>
      </c>
      <c r="I127">
        <v>200</v>
      </c>
      <c r="J127">
        <v>500</v>
      </c>
      <c r="K127">
        <v>500</v>
      </c>
      <c r="L127">
        <v>200</v>
      </c>
      <c r="M127">
        <v>200</v>
      </c>
      <c r="N127">
        <v>500</v>
      </c>
      <c r="O127">
        <v>250</v>
      </c>
      <c r="P127">
        <v>250</v>
      </c>
      <c r="Q127">
        <v>200</v>
      </c>
      <c r="R127">
        <v>200</v>
      </c>
      <c r="S127">
        <v>200</v>
      </c>
      <c r="T127">
        <v>650</v>
      </c>
      <c r="U127">
        <v>250</v>
      </c>
      <c r="V127">
        <v>250</v>
      </c>
      <c r="W127">
        <v>200</v>
      </c>
      <c r="X127">
        <v>500</v>
      </c>
      <c r="Y127">
        <v>500</v>
      </c>
      <c r="Z127">
        <v>650</v>
      </c>
      <c r="AA127">
        <v>200</v>
      </c>
      <c r="AB127">
        <v>200</v>
      </c>
      <c r="AC127">
        <v>200</v>
      </c>
      <c r="AD127">
        <v>200</v>
      </c>
    </row>
    <row r="128" spans="1:34" ht="12.75" dyDescent="0.2" customHeight="1">
      <c r="A128">
        <v>250</v>
      </c>
      <c r="B128">
        <v>250</v>
      </c>
      <c r="C128">
        <v>250</v>
      </c>
      <c r="D128">
        <v>200</v>
      </c>
      <c r="E128">
        <v>200</v>
      </c>
      <c r="F128">
        <v>200</v>
      </c>
      <c r="G128" s="48">
        <v>150</v>
      </c>
      <c r="H128">
        <v>150</v>
      </c>
      <c r="I128">
        <v>200</v>
      </c>
      <c r="J128">
        <v>500</v>
      </c>
      <c r="K128">
        <v>500</v>
      </c>
      <c r="L128">
        <v>250</v>
      </c>
      <c r="M128">
        <v>250</v>
      </c>
      <c r="N128">
        <v>200</v>
      </c>
      <c r="O128">
        <v>200</v>
      </c>
      <c r="P128">
        <v>150</v>
      </c>
      <c r="Q128">
        <v>250</v>
      </c>
      <c r="R128">
        <v>250</v>
      </c>
      <c r="S128">
        <v>200</v>
      </c>
      <c r="T128">
        <v>500</v>
      </c>
      <c r="U128">
        <v>250</v>
      </c>
      <c r="V128">
        <v>250</v>
      </c>
      <c r="W128">
        <v>500</v>
      </c>
      <c r="X128">
        <v>500</v>
      </c>
      <c r="Y128">
        <v>500</v>
      </c>
      <c r="Z128">
        <v>650</v>
      </c>
      <c r="AA128">
        <v>200</v>
      </c>
      <c r="AB128">
        <v>200</v>
      </c>
      <c r="AC128">
        <v>200</v>
      </c>
      <c r="AD128">
        <v>500</v>
      </c>
    </row>
    <row r="129" spans="1:34" ht="12.75" dyDescent="0.2" customHeight="1">
      <c r="A129">
        <v>250</v>
      </c>
      <c r="B129">
        <v>250</v>
      </c>
      <c r="C129">
        <v>250</v>
      </c>
      <c r="D129">
        <v>200</v>
      </c>
      <c r="E129">
        <v>200</v>
      </c>
      <c r="F129">
        <v>200</v>
      </c>
      <c r="G129">
        <v>150</v>
      </c>
      <c r="H129" s="48">
        <v>150</v>
      </c>
      <c r="I129">
        <v>200</v>
      </c>
      <c r="J129">
        <v>500</v>
      </c>
      <c r="K129">
        <v>500</v>
      </c>
      <c r="L129">
        <v>250</v>
      </c>
      <c r="M129">
        <v>250</v>
      </c>
      <c r="N129">
        <v>200</v>
      </c>
      <c r="O129">
        <v>200</v>
      </c>
      <c r="P129">
        <v>150</v>
      </c>
      <c r="Q129">
        <v>250</v>
      </c>
      <c r="R129">
        <v>250</v>
      </c>
      <c r="S129">
        <v>200</v>
      </c>
      <c r="T129">
        <v>500</v>
      </c>
      <c r="U129">
        <v>250</v>
      </c>
      <c r="V129">
        <v>250</v>
      </c>
      <c r="W129">
        <v>500</v>
      </c>
      <c r="X129">
        <v>500</v>
      </c>
      <c r="Y129">
        <v>500</v>
      </c>
      <c r="Z129">
        <v>650</v>
      </c>
      <c r="AA129">
        <v>200</v>
      </c>
      <c r="AB129">
        <v>200</v>
      </c>
      <c r="AC129">
        <v>200</v>
      </c>
      <c r="AD129">
        <v>500</v>
      </c>
    </row>
    <row r="130" spans="1:34" ht="12.75" dyDescent="0.2" customHeight="1">
      <c r="A130">
        <v>200</v>
      </c>
      <c r="B130">
        <v>200</v>
      </c>
      <c r="C130">
        <v>200</v>
      </c>
      <c r="D130">
        <v>250</v>
      </c>
      <c r="E130">
        <v>200</v>
      </c>
      <c r="F130">
        <v>200</v>
      </c>
      <c r="G130">
        <v>200</v>
      </c>
      <c r="H130">
        <v>200</v>
      </c>
      <c r="I130" s="48">
        <v>150</v>
      </c>
      <c r="J130">
        <v>250</v>
      </c>
      <c r="K130">
        <v>250</v>
      </c>
      <c r="L130">
        <v>650</v>
      </c>
      <c r="M130">
        <v>650</v>
      </c>
      <c r="N130">
        <v>200</v>
      </c>
      <c r="O130">
        <v>250</v>
      </c>
      <c r="P130">
        <v>200</v>
      </c>
      <c r="Q130">
        <v>650</v>
      </c>
      <c r="R130">
        <v>650</v>
      </c>
      <c r="S130">
        <v>250</v>
      </c>
      <c r="T130">
        <v>500</v>
      </c>
      <c r="U130">
        <v>200</v>
      </c>
      <c r="V130">
        <v>200</v>
      </c>
      <c r="W130">
        <v>500</v>
      </c>
      <c r="X130">
        <v>250</v>
      </c>
      <c r="Y130">
        <v>250</v>
      </c>
      <c r="Z130">
        <v>250</v>
      </c>
      <c r="AA130">
        <v>500</v>
      </c>
      <c r="AB130">
        <v>500</v>
      </c>
      <c r="AC130">
        <v>500</v>
      </c>
      <c r="AD130">
        <v>650</v>
      </c>
    </row>
    <row r="131" spans="1:34" ht="12.75" dyDescent="0.2" customHeight="1">
      <c r="A131">
        <v>200</v>
      </c>
      <c r="B131">
        <v>200</v>
      </c>
      <c r="C131">
        <v>200</v>
      </c>
      <c r="D131">
        <v>500</v>
      </c>
      <c r="E131">
        <v>500</v>
      </c>
      <c r="F131">
        <v>500</v>
      </c>
      <c r="G131">
        <v>500</v>
      </c>
      <c r="H131">
        <v>500</v>
      </c>
      <c r="I131">
        <v>250</v>
      </c>
      <c r="J131" s="48">
        <v>150</v>
      </c>
      <c r="K131">
        <v>150</v>
      </c>
      <c r="L131">
        <v>650</v>
      </c>
      <c r="M131">
        <v>650</v>
      </c>
      <c r="N131">
        <v>200</v>
      </c>
      <c r="O131">
        <v>250</v>
      </c>
      <c r="P131">
        <v>500</v>
      </c>
      <c r="Q131">
        <v>650</v>
      </c>
      <c r="R131">
        <v>650</v>
      </c>
      <c r="S131">
        <v>500</v>
      </c>
      <c r="T131">
        <v>200</v>
      </c>
      <c r="U131">
        <v>250</v>
      </c>
      <c r="V131">
        <v>250</v>
      </c>
      <c r="W131">
        <v>650</v>
      </c>
      <c r="X131">
        <v>200</v>
      </c>
      <c r="Y131">
        <v>200</v>
      </c>
      <c r="Z131">
        <v>250</v>
      </c>
      <c r="AA131">
        <v>500</v>
      </c>
      <c r="AB131">
        <v>500</v>
      </c>
      <c r="AC131">
        <v>500</v>
      </c>
      <c r="AD131">
        <v>650</v>
      </c>
    </row>
    <row r="132" spans="1:34" ht="12.75" dyDescent="0.2" customHeight="1">
      <c r="A132">
        <v>200</v>
      </c>
      <c r="B132">
        <v>200</v>
      </c>
      <c r="C132">
        <v>200</v>
      </c>
      <c r="D132">
        <v>500</v>
      </c>
      <c r="E132">
        <v>500</v>
      </c>
      <c r="F132">
        <v>500</v>
      </c>
      <c r="G132">
        <v>500</v>
      </c>
      <c r="H132">
        <v>500</v>
      </c>
      <c r="I132">
        <v>250</v>
      </c>
      <c r="J132">
        <v>150</v>
      </c>
      <c r="K132" s="48">
        <v>150</v>
      </c>
      <c r="L132">
        <v>650</v>
      </c>
      <c r="M132">
        <v>650</v>
      </c>
      <c r="N132">
        <v>200</v>
      </c>
      <c r="O132">
        <v>250</v>
      </c>
      <c r="P132">
        <v>500</v>
      </c>
      <c r="Q132">
        <v>650</v>
      </c>
      <c r="R132">
        <v>650</v>
      </c>
      <c r="S132">
        <v>500</v>
      </c>
      <c r="T132">
        <v>200</v>
      </c>
      <c r="U132">
        <v>250</v>
      </c>
      <c r="V132">
        <v>250</v>
      </c>
      <c r="W132">
        <v>650</v>
      </c>
      <c r="X132">
        <v>200</v>
      </c>
      <c r="Y132">
        <v>200</v>
      </c>
      <c r="Z132">
        <v>250</v>
      </c>
      <c r="AA132">
        <v>500</v>
      </c>
      <c r="AB132">
        <v>500</v>
      </c>
      <c r="AC132">
        <v>500</v>
      </c>
      <c r="AD132">
        <v>650</v>
      </c>
    </row>
    <row r="133" spans="1:34" ht="12.75" dyDescent="0.2" customHeight="1">
      <c r="A133">
        <v>650</v>
      </c>
      <c r="B133">
        <v>650</v>
      </c>
      <c r="C133">
        <v>650</v>
      </c>
      <c r="D133">
        <v>200</v>
      </c>
      <c r="E133">
        <v>200</v>
      </c>
      <c r="F133">
        <v>200</v>
      </c>
      <c r="G133">
        <v>250</v>
      </c>
      <c r="H133">
        <v>250</v>
      </c>
      <c r="I133">
        <v>650</v>
      </c>
      <c r="J133">
        <v>650</v>
      </c>
      <c r="K133">
        <v>650</v>
      </c>
      <c r="L133" s="48">
        <v>150</v>
      </c>
      <c r="M133">
        <v>150</v>
      </c>
      <c r="N133">
        <v>250</v>
      </c>
      <c r="O133">
        <v>250</v>
      </c>
      <c r="P133">
        <v>250</v>
      </c>
      <c r="Q133">
        <v>150</v>
      </c>
      <c r="R133">
        <v>150</v>
      </c>
      <c r="S133">
        <v>200</v>
      </c>
      <c r="T133">
        <v>650</v>
      </c>
      <c r="U133">
        <v>500</v>
      </c>
      <c r="V133">
        <v>500</v>
      </c>
      <c r="W133">
        <v>250</v>
      </c>
      <c r="X133">
        <v>200</v>
      </c>
      <c r="Y133">
        <v>500</v>
      </c>
      <c r="Z133">
        <v>650</v>
      </c>
      <c r="AA133">
        <v>200</v>
      </c>
      <c r="AB133">
        <v>250</v>
      </c>
      <c r="AC133">
        <v>250</v>
      </c>
      <c r="AD133">
        <v>500</v>
      </c>
    </row>
    <row r="134" spans="1:34" ht="12.75" dyDescent="0.2" customHeight="1">
      <c r="A134">
        <v>650</v>
      </c>
      <c r="B134">
        <v>650</v>
      </c>
      <c r="C134">
        <v>650</v>
      </c>
      <c r="D134">
        <v>200</v>
      </c>
      <c r="E134">
        <v>200</v>
      </c>
      <c r="F134">
        <v>200</v>
      </c>
      <c r="G134">
        <v>250</v>
      </c>
      <c r="H134">
        <v>250</v>
      </c>
      <c r="I134">
        <v>650</v>
      </c>
      <c r="J134">
        <v>650</v>
      </c>
      <c r="K134">
        <v>650</v>
      </c>
      <c r="L134">
        <v>150</v>
      </c>
      <c r="M134" s="48">
        <v>150</v>
      </c>
      <c r="N134">
        <v>250</v>
      </c>
      <c r="O134">
        <v>250</v>
      </c>
      <c r="P134">
        <v>250</v>
      </c>
      <c r="Q134">
        <v>150</v>
      </c>
      <c r="R134">
        <v>150</v>
      </c>
      <c r="S134">
        <v>200</v>
      </c>
      <c r="T134">
        <v>650</v>
      </c>
      <c r="U134">
        <v>500</v>
      </c>
      <c r="V134">
        <v>500</v>
      </c>
      <c r="W134">
        <v>250</v>
      </c>
      <c r="X134">
        <v>200</v>
      </c>
      <c r="Y134">
        <v>500</v>
      </c>
      <c r="Z134">
        <v>650</v>
      </c>
      <c r="AA134">
        <v>200</v>
      </c>
      <c r="AB134">
        <v>250</v>
      </c>
      <c r="AC134">
        <v>250</v>
      </c>
      <c r="AD134">
        <v>500</v>
      </c>
    </row>
    <row r="135" spans="1:34" ht="12.75" dyDescent="0.2" customHeight="1">
      <c r="A135">
        <v>200</v>
      </c>
      <c r="B135">
        <v>200</v>
      </c>
      <c r="C135">
        <v>200</v>
      </c>
      <c r="D135">
        <v>250</v>
      </c>
      <c r="E135">
        <v>500</v>
      </c>
      <c r="F135">
        <v>500</v>
      </c>
      <c r="G135">
        <v>200</v>
      </c>
      <c r="H135">
        <v>200</v>
      </c>
      <c r="I135">
        <v>200</v>
      </c>
      <c r="J135">
        <v>200</v>
      </c>
      <c r="K135">
        <v>200</v>
      </c>
      <c r="L135">
        <v>250</v>
      </c>
      <c r="M135">
        <v>250</v>
      </c>
      <c r="N135" s="48">
        <v>150</v>
      </c>
      <c r="O135">
        <v>200</v>
      </c>
      <c r="P135">
        <v>200</v>
      </c>
      <c r="Q135">
        <v>250</v>
      </c>
      <c r="R135">
        <v>250</v>
      </c>
      <c r="S135">
        <v>250</v>
      </c>
      <c r="T135">
        <v>250</v>
      </c>
      <c r="U135">
        <v>200</v>
      </c>
      <c r="V135">
        <v>200</v>
      </c>
      <c r="W135">
        <v>650</v>
      </c>
      <c r="X135">
        <v>200</v>
      </c>
      <c r="Y135">
        <v>200</v>
      </c>
      <c r="Z135">
        <v>500</v>
      </c>
      <c r="AA135">
        <v>500</v>
      </c>
      <c r="AB135">
        <v>650</v>
      </c>
      <c r="AC135">
        <v>650</v>
      </c>
      <c r="AD135">
        <v>650</v>
      </c>
    </row>
    <row r="136" spans="1:34" ht="12.75" dyDescent="0.2" customHeight="1">
      <c r="A136">
        <v>250</v>
      </c>
      <c r="B136">
        <v>250</v>
      </c>
      <c r="C136">
        <v>250</v>
      </c>
      <c r="D136">
        <v>200</v>
      </c>
      <c r="E136">
        <v>250</v>
      </c>
      <c r="F136">
        <v>250</v>
      </c>
      <c r="G136">
        <v>200</v>
      </c>
      <c r="H136">
        <v>200</v>
      </c>
      <c r="I136">
        <v>250</v>
      </c>
      <c r="J136">
        <v>250</v>
      </c>
      <c r="K136">
        <v>250</v>
      </c>
      <c r="L136">
        <v>250</v>
      </c>
      <c r="M136">
        <v>250</v>
      </c>
      <c r="N136">
        <v>200</v>
      </c>
      <c r="O136" s="48">
        <v>150</v>
      </c>
      <c r="P136">
        <v>200</v>
      </c>
      <c r="Q136">
        <v>250</v>
      </c>
      <c r="R136">
        <v>250</v>
      </c>
      <c r="S136">
        <v>200</v>
      </c>
      <c r="T136">
        <v>650</v>
      </c>
      <c r="U136">
        <v>200</v>
      </c>
      <c r="V136">
        <v>200</v>
      </c>
      <c r="W136">
        <v>650</v>
      </c>
      <c r="X136">
        <v>200</v>
      </c>
      <c r="Y136">
        <v>500</v>
      </c>
      <c r="Z136">
        <v>650</v>
      </c>
      <c r="AA136">
        <v>200</v>
      </c>
      <c r="AB136">
        <v>200</v>
      </c>
      <c r="AC136">
        <v>200</v>
      </c>
      <c r="AD136">
        <v>650</v>
      </c>
    </row>
    <row r="137" spans="1:34" ht="12.75" dyDescent="0.2" customHeight="1">
      <c r="A137">
        <v>500</v>
      </c>
      <c r="B137">
        <v>500</v>
      </c>
      <c r="C137">
        <v>500</v>
      </c>
      <c r="D137">
        <v>200</v>
      </c>
      <c r="E137">
        <v>250</v>
      </c>
      <c r="F137">
        <v>250</v>
      </c>
      <c r="G137">
        <v>150</v>
      </c>
      <c r="H137">
        <v>150</v>
      </c>
      <c r="I137">
        <v>200</v>
      </c>
      <c r="J137">
        <v>500</v>
      </c>
      <c r="K137">
        <v>500</v>
      </c>
      <c r="L137">
        <v>250</v>
      </c>
      <c r="M137">
        <v>250</v>
      </c>
      <c r="N137">
        <v>200</v>
      </c>
      <c r="O137">
        <v>200</v>
      </c>
      <c r="P137" s="48">
        <v>150</v>
      </c>
      <c r="Q137">
        <v>150</v>
      </c>
      <c r="R137">
        <v>250</v>
      </c>
      <c r="S137">
        <v>200</v>
      </c>
      <c r="T137">
        <v>500</v>
      </c>
      <c r="U137">
        <v>200</v>
      </c>
      <c r="V137">
        <v>200</v>
      </c>
      <c r="W137">
        <v>500</v>
      </c>
      <c r="X137">
        <v>500</v>
      </c>
      <c r="Y137">
        <v>500</v>
      </c>
      <c r="Z137">
        <v>650</v>
      </c>
      <c r="AA137">
        <v>200</v>
      </c>
      <c r="AB137">
        <v>200</v>
      </c>
      <c r="AC137">
        <v>200</v>
      </c>
      <c r="AD137">
        <v>500</v>
      </c>
    </row>
    <row r="138" spans="1:34" ht="12.75" dyDescent="0.2" customHeight="1">
      <c r="A138">
        <v>650</v>
      </c>
      <c r="B138">
        <v>650</v>
      </c>
      <c r="C138">
        <v>650</v>
      </c>
      <c r="D138">
        <v>200</v>
      </c>
      <c r="E138">
        <v>200</v>
      </c>
      <c r="F138">
        <v>200</v>
      </c>
      <c r="G138">
        <v>250</v>
      </c>
      <c r="H138">
        <v>250</v>
      </c>
      <c r="I138">
        <v>650</v>
      </c>
      <c r="J138">
        <v>650</v>
      </c>
      <c r="K138">
        <v>650</v>
      </c>
      <c r="L138">
        <v>150</v>
      </c>
      <c r="M138">
        <v>150</v>
      </c>
      <c r="N138">
        <v>250</v>
      </c>
      <c r="O138">
        <v>250</v>
      </c>
      <c r="P138">
        <v>150</v>
      </c>
      <c r="Q138" s="48">
        <v>150</v>
      </c>
      <c r="R138">
        <v>150</v>
      </c>
      <c r="S138">
        <v>200</v>
      </c>
      <c r="T138">
        <v>650</v>
      </c>
      <c r="U138">
        <v>500</v>
      </c>
      <c r="V138">
        <v>500</v>
      </c>
      <c r="W138">
        <v>250</v>
      </c>
      <c r="X138">
        <v>200</v>
      </c>
      <c r="Y138">
        <v>500</v>
      </c>
      <c r="Z138">
        <v>650</v>
      </c>
      <c r="AA138">
        <v>200</v>
      </c>
      <c r="AB138">
        <v>250</v>
      </c>
      <c r="AC138">
        <v>250</v>
      </c>
      <c r="AD138">
        <v>500</v>
      </c>
    </row>
    <row r="139" spans="1:34" ht="12.75" dyDescent="0.2" customHeight="1">
      <c r="A139">
        <v>650</v>
      </c>
      <c r="B139">
        <v>650</v>
      </c>
      <c r="C139">
        <v>650</v>
      </c>
      <c r="D139">
        <v>200</v>
      </c>
      <c r="E139">
        <v>200</v>
      </c>
      <c r="F139">
        <v>200</v>
      </c>
      <c r="G139">
        <v>250</v>
      </c>
      <c r="H139">
        <v>250</v>
      </c>
      <c r="I139">
        <v>650</v>
      </c>
      <c r="J139">
        <v>650</v>
      </c>
      <c r="K139">
        <v>650</v>
      </c>
      <c r="L139">
        <v>150</v>
      </c>
      <c r="M139">
        <v>150</v>
      </c>
      <c r="N139">
        <v>250</v>
      </c>
      <c r="O139">
        <v>250</v>
      </c>
      <c r="P139">
        <v>250</v>
      </c>
      <c r="Q139">
        <v>150</v>
      </c>
      <c r="R139" s="48">
        <v>150</v>
      </c>
      <c r="S139">
        <v>200</v>
      </c>
      <c r="T139">
        <v>650</v>
      </c>
      <c r="U139">
        <v>650</v>
      </c>
      <c r="V139">
        <v>650</v>
      </c>
      <c r="W139">
        <v>250</v>
      </c>
      <c r="X139">
        <v>200</v>
      </c>
      <c r="Y139">
        <v>500</v>
      </c>
      <c r="Z139">
        <v>650</v>
      </c>
      <c r="AA139">
        <v>200</v>
      </c>
      <c r="AB139">
        <v>250</v>
      </c>
      <c r="AC139">
        <v>250</v>
      </c>
      <c r="AD139">
        <v>500</v>
      </c>
    </row>
    <row r="140" spans="1:34" ht="12.75" dyDescent="0.2" customHeight="1">
      <c r="A140">
        <v>650</v>
      </c>
      <c r="B140">
        <v>650</v>
      </c>
      <c r="C140">
        <v>650</v>
      </c>
      <c r="D140">
        <v>150</v>
      </c>
      <c r="E140">
        <v>200</v>
      </c>
      <c r="F140">
        <v>200</v>
      </c>
      <c r="G140">
        <v>200</v>
      </c>
      <c r="H140">
        <v>200</v>
      </c>
      <c r="I140">
        <v>250</v>
      </c>
      <c r="J140">
        <v>500</v>
      </c>
      <c r="K140">
        <v>500</v>
      </c>
      <c r="L140">
        <v>200</v>
      </c>
      <c r="M140">
        <v>200</v>
      </c>
      <c r="N140">
        <v>250</v>
      </c>
      <c r="O140">
        <v>200</v>
      </c>
      <c r="P140">
        <v>200</v>
      </c>
      <c r="Q140">
        <v>200</v>
      </c>
      <c r="R140">
        <v>200</v>
      </c>
      <c r="S140" s="48">
        <v>150</v>
      </c>
      <c r="T140">
        <v>650</v>
      </c>
      <c r="U140">
        <v>250</v>
      </c>
      <c r="V140">
        <v>250</v>
      </c>
      <c r="W140">
        <v>200</v>
      </c>
      <c r="X140">
        <v>250</v>
      </c>
      <c r="Y140">
        <v>500</v>
      </c>
      <c r="Z140">
        <v>650</v>
      </c>
      <c r="AA140">
        <v>200</v>
      </c>
      <c r="AB140">
        <v>200</v>
      </c>
      <c r="AC140">
        <v>200</v>
      </c>
      <c r="AD140">
        <v>200</v>
      </c>
    </row>
    <row r="141" spans="1:34" ht="12.75" dyDescent="0.2" customHeight="1">
      <c r="A141">
        <v>200</v>
      </c>
      <c r="B141">
        <v>200</v>
      </c>
      <c r="C141">
        <v>200</v>
      </c>
      <c r="D141">
        <v>650</v>
      </c>
      <c r="E141">
        <v>650</v>
      </c>
      <c r="F141">
        <v>650</v>
      </c>
      <c r="G141">
        <v>500</v>
      </c>
      <c r="H141">
        <v>500</v>
      </c>
      <c r="I141">
        <v>500</v>
      </c>
      <c r="J141">
        <v>200</v>
      </c>
      <c r="K141">
        <v>200</v>
      </c>
      <c r="L141">
        <v>650</v>
      </c>
      <c r="M141">
        <v>650</v>
      </c>
      <c r="N141">
        <v>250</v>
      </c>
      <c r="O141">
        <v>650</v>
      </c>
      <c r="P141">
        <v>500</v>
      </c>
      <c r="Q141">
        <v>650</v>
      </c>
      <c r="R141">
        <v>650</v>
      </c>
      <c r="S141">
        <v>650</v>
      </c>
      <c r="T141" s="48">
        <v>150</v>
      </c>
      <c r="U141">
        <v>500</v>
      </c>
      <c r="V141">
        <v>500</v>
      </c>
      <c r="W141">
        <v>650</v>
      </c>
      <c r="X141">
        <v>250</v>
      </c>
      <c r="Y141">
        <v>200</v>
      </c>
      <c r="Z141">
        <v>200</v>
      </c>
      <c r="AA141">
        <v>500</v>
      </c>
      <c r="AB141">
        <v>500</v>
      </c>
      <c r="AC141">
        <v>500</v>
      </c>
      <c r="AD141">
        <v>650</v>
      </c>
    </row>
    <row r="142" spans="1:34" ht="12.75" dyDescent="0.2" customHeight="1">
      <c r="A142">
        <v>200</v>
      </c>
      <c r="B142">
        <v>200</v>
      </c>
      <c r="C142">
        <v>200</v>
      </c>
      <c r="D142">
        <v>250</v>
      </c>
      <c r="E142">
        <v>250</v>
      </c>
      <c r="F142">
        <v>250</v>
      </c>
      <c r="G142">
        <v>200</v>
      </c>
      <c r="H142">
        <v>200</v>
      </c>
      <c r="I142">
        <v>200</v>
      </c>
      <c r="J142">
        <v>250</v>
      </c>
      <c r="K142">
        <v>250</v>
      </c>
      <c r="L142">
        <v>500</v>
      </c>
      <c r="M142">
        <v>500</v>
      </c>
      <c r="N142">
        <v>200</v>
      </c>
      <c r="O142">
        <v>200</v>
      </c>
      <c r="P142">
        <v>200</v>
      </c>
      <c r="Q142">
        <v>500</v>
      </c>
      <c r="R142">
        <v>500</v>
      </c>
      <c r="S142">
        <v>250</v>
      </c>
      <c r="T142">
        <v>500</v>
      </c>
      <c r="U142" s="48">
        <v>150</v>
      </c>
      <c r="V142">
        <v>150</v>
      </c>
      <c r="W142">
        <v>500</v>
      </c>
      <c r="X142">
        <v>250</v>
      </c>
      <c r="Y142">
        <v>250</v>
      </c>
      <c r="Z142">
        <v>650</v>
      </c>
      <c r="AA142">
        <v>500</v>
      </c>
      <c r="AB142">
        <v>200</v>
      </c>
      <c r="AC142">
        <v>200</v>
      </c>
      <c r="AD142">
        <v>650</v>
      </c>
    </row>
    <row r="143" spans="1:34" ht="12.75" dyDescent="0.2" customHeight="1">
      <c r="A143">
        <v>200</v>
      </c>
      <c r="B143">
        <v>200</v>
      </c>
      <c r="C143">
        <v>200</v>
      </c>
      <c r="D143">
        <v>250</v>
      </c>
      <c r="E143">
        <v>250</v>
      </c>
      <c r="F143">
        <v>250</v>
      </c>
      <c r="G143">
        <v>200</v>
      </c>
      <c r="H143">
        <v>200</v>
      </c>
      <c r="I143">
        <v>200</v>
      </c>
      <c r="J143">
        <v>250</v>
      </c>
      <c r="K143">
        <v>250</v>
      </c>
      <c r="L143">
        <v>500</v>
      </c>
      <c r="M143">
        <v>500</v>
      </c>
      <c r="N143">
        <v>200</v>
      </c>
      <c r="O143">
        <v>200</v>
      </c>
      <c r="P143">
        <v>200</v>
      </c>
      <c r="Q143">
        <v>500</v>
      </c>
      <c r="R143">
        <v>500</v>
      </c>
      <c r="S143">
        <v>250</v>
      </c>
      <c r="T143">
        <v>500</v>
      </c>
      <c r="U143">
        <v>150</v>
      </c>
      <c r="V143" s="48">
        <v>150</v>
      </c>
      <c r="W143">
        <v>500</v>
      </c>
      <c r="X143">
        <v>250</v>
      </c>
      <c r="Y143">
        <v>250</v>
      </c>
      <c r="Z143">
        <v>650</v>
      </c>
      <c r="AA143">
        <v>500</v>
      </c>
      <c r="AB143">
        <v>200</v>
      </c>
      <c r="AC143">
        <v>200</v>
      </c>
      <c r="AD143">
        <v>650</v>
      </c>
    </row>
    <row r="144" spans="1:34" ht="12.75" dyDescent="0.2" customHeight="1">
      <c r="A144">
        <v>650</v>
      </c>
      <c r="B144">
        <v>650</v>
      </c>
      <c r="C144">
        <v>650</v>
      </c>
      <c r="D144">
        <v>200</v>
      </c>
      <c r="E144">
        <v>200</v>
      </c>
      <c r="F144">
        <v>200</v>
      </c>
      <c r="G144">
        <v>500</v>
      </c>
      <c r="H144">
        <v>500</v>
      </c>
      <c r="I144">
        <v>500</v>
      </c>
      <c r="J144">
        <v>650</v>
      </c>
      <c r="K144">
        <v>650</v>
      </c>
      <c r="L144">
        <v>250</v>
      </c>
      <c r="M144">
        <v>250</v>
      </c>
      <c r="N144">
        <v>650</v>
      </c>
      <c r="O144">
        <v>650</v>
      </c>
      <c r="P144">
        <v>500</v>
      </c>
      <c r="Q144">
        <v>250</v>
      </c>
      <c r="R144">
        <v>250</v>
      </c>
      <c r="S144">
        <v>200</v>
      </c>
      <c r="T144">
        <v>650</v>
      </c>
      <c r="U144">
        <v>500</v>
      </c>
      <c r="V144">
        <v>500</v>
      </c>
      <c r="W144" s="48">
        <v>150</v>
      </c>
      <c r="X144">
        <v>500</v>
      </c>
      <c r="Y144">
        <v>650</v>
      </c>
      <c r="Z144">
        <v>650</v>
      </c>
      <c r="AA144">
        <v>250</v>
      </c>
      <c r="AB144">
        <v>200</v>
      </c>
      <c r="AC144">
        <v>200</v>
      </c>
      <c r="AD144">
        <v>200</v>
      </c>
    </row>
    <row r="145" spans="1:34" ht="12.75" dyDescent="0.2" customHeight="1">
      <c r="A145">
        <v>250</v>
      </c>
      <c r="B145">
        <v>250</v>
      </c>
      <c r="C145">
        <v>250</v>
      </c>
      <c r="D145">
        <v>250</v>
      </c>
      <c r="E145">
        <v>500</v>
      </c>
      <c r="F145">
        <v>500</v>
      </c>
      <c r="G145">
        <v>500</v>
      </c>
      <c r="H145">
        <v>500</v>
      </c>
      <c r="I145">
        <v>250</v>
      </c>
      <c r="J145">
        <v>200</v>
      </c>
      <c r="K145">
        <v>200</v>
      </c>
      <c r="L145">
        <v>200</v>
      </c>
      <c r="M145">
        <v>200</v>
      </c>
      <c r="N145">
        <v>200</v>
      </c>
      <c r="O145">
        <v>200</v>
      </c>
      <c r="P145">
        <v>500</v>
      </c>
      <c r="Q145">
        <v>200</v>
      </c>
      <c r="R145">
        <v>200</v>
      </c>
      <c r="S145">
        <v>250</v>
      </c>
      <c r="T145">
        <v>250</v>
      </c>
      <c r="U145">
        <v>250</v>
      </c>
      <c r="V145">
        <v>250</v>
      </c>
      <c r="W145">
        <v>500</v>
      </c>
      <c r="X145" s="48">
        <v>150</v>
      </c>
      <c r="Y145">
        <v>200</v>
      </c>
      <c r="Z145">
        <v>500</v>
      </c>
      <c r="AA145">
        <v>200</v>
      </c>
      <c r="AB145">
        <v>500</v>
      </c>
      <c r="AC145">
        <v>500</v>
      </c>
      <c r="AD145">
        <v>650</v>
      </c>
    </row>
    <row r="146" spans="1:34" ht="12.75" dyDescent="0.2" customHeight="1">
      <c r="A146">
        <v>200</v>
      </c>
      <c r="B146">
        <v>200</v>
      </c>
      <c r="C146">
        <v>200</v>
      </c>
      <c r="D146">
        <v>500</v>
      </c>
      <c r="E146">
        <v>500</v>
      </c>
      <c r="F146">
        <v>500</v>
      </c>
      <c r="G146">
        <v>500</v>
      </c>
      <c r="H146">
        <v>500</v>
      </c>
      <c r="I146">
        <v>250</v>
      </c>
      <c r="J146">
        <v>200</v>
      </c>
      <c r="K146">
        <v>200</v>
      </c>
      <c r="L146">
        <v>500</v>
      </c>
      <c r="M146">
        <v>500</v>
      </c>
      <c r="N146">
        <v>200</v>
      </c>
      <c r="O146">
        <v>500</v>
      </c>
      <c r="P146">
        <v>500</v>
      </c>
      <c r="Q146">
        <v>500</v>
      </c>
      <c r="R146">
        <v>500</v>
      </c>
      <c r="S146">
        <v>500</v>
      </c>
      <c r="T146">
        <v>200</v>
      </c>
      <c r="U146">
        <v>250</v>
      </c>
      <c r="V146">
        <v>250</v>
      </c>
      <c r="W146">
        <v>650</v>
      </c>
      <c r="X146">
        <v>200</v>
      </c>
      <c r="Y146" s="48">
        <v>150</v>
      </c>
      <c r="Z146">
        <v>250</v>
      </c>
      <c r="AA146">
        <v>500</v>
      </c>
      <c r="AB146">
        <v>500</v>
      </c>
      <c r="AC146">
        <v>500</v>
      </c>
      <c r="AD146">
        <v>650</v>
      </c>
    </row>
    <row r="147" spans="1:34" ht="12.75" dyDescent="0.2" customHeight="1">
      <c r="A147">
        <v>200</v>
      </c>
      <c r="B147">
        <v>200</v>
      </c>
      <c r="C147">
        <v>200</v>
      </c>
      <c r="D147">
        <v>650</v>
      </c>
      <c r="E147">
        <v>650</v>
      </c>
      <c r="F147">
        <v>650</v>
      </c>
      <c r="G147">
        <v>650</v>
      </c>
      <c r="H147">
        <v>650</v>
      </c>
      <c r="I147">
        <v>250</v>
      </c>
      <c r="J147">
        <v>250</v>
      </c>
      <c r="K147">
        <v>250</v>
      </c>
      <c r="L147">
        <v>650</v>
      </c>
      <c r="M147">
        <v>650</v>
      </c>
      <c r="N147">
        <v>500</v>
      </c>
      <c r="O147">
        <v>650</v>
      </c>
      <c r="P147">
        <v>650</v>
      </c>
      <c r="Q147">
        <v>650</v>
      </c>
      <c r="R147">
        <v>650</v>
      </c>
      <c r="S147">
        <v>650</v>
      </c>
      <c r="T147">
        <v>200</v>
      </c>
      <c r="U147">
        <v>650</v>
      </c>
      <c r="V147">
        <v>650</v>
      </c>
      <c r="W147">
        <v>650</v>
      </c>
      <c r="X147">
        <v>500</v>
      </c>
      <c r="Y147">
        <v>250</v>
      </c>
      <c r="Z147" s="48">
        <v>150</v>
      </c>
      <c r="AA147">
        <v>650</v>
      </c>
      <c r="AB147">
        <v>650</v>
      </c>
      <c r="AC147">
        <v>650</v>
      </c>
      <c r="AD147">
        <v>650</v>
      </c>
    </row>
    <row r="148" spans="1:34" ht="12.75" dyDescent="0.2" customHeight="1">
      <c r="A148">
        <v>200</v>
      </c>
      <c r="B148">
        <v>200</v>
      </c>
      <c r="C148">
        <v>200</v>
      </c>
      <c r="D148">
        <v>200</v>
      </c>
      <c r="E148">
        <v>200</v>
      </c>
      <c r="F148">
        <v>200</v>
      </c>
      <c r="G148">
        <v>200</v>
      </c>
      <c r="H148">
        <v>200</v>
      </c>
      <c r="I148">
        <v>500</v>
      </c>
      <c r="J148">
        <v>500</v>
      </c>
      <c r="K148">
        <v>500</v>
      </c>
      <c r="L148">
        <v>200</v>
      </c>
      <c r="M148">
        <v>200</v>
      </c>
      <c r="N148">
        <v>500</v>
      </c>
      <c r="O148">
        <v>200</v>
      </c>
      <c r="P148">
        <v>200</v>
      </c>
      <c r="Q148">
        <v>200</v>
      </c>
      <c r="R148">
        <v>200</v>
      </c>
      <c r="S148">
        <v>200</v>
      </c>
      <c r="T148">
        <v>500</v>
      </c>
      <c r="U148">
        <v>500</v>
      </c>
      <c r="V148">
        <v>500</v>
      </c>
      <c r="W148">
        <v>250</v>
      </c>
      <c r="X148">
        <v>200</v>
      </c>
      <c r="Y148">
        <v>500</v>
      </c>
      <c r="Z148">
        <v>650</v>
      </c>
      <c r="AA148" s="48">
        <v>150</v>
      </c>
      <c r="AB148">
        <v>200</v>
      </c>
      <c r="AC148">
        <v>200</v>
      </c>
      <c r="AD148">
        <v>250</v>
      </c>
    </row>
    <row r="149" spans="1:34" ht="12.75" dyDescent="0.2" customHeight="1">
      <c r="A149">
        <v>500</v>
      </c>
      <c r="B149">
        <v>500</v>
      </c>
      <c r="C149">
        <v>500</v>
      </c>
      <c r="D149">
        <v>200</v>
      </c>
      <c r="E149">
        <v>200</v>
      </c>
      <c r="F149">
        <v>200</v>
      </c>
      <c r="G149">
        <v>200</v>
      </c>
      <c r="H149">
        <v>200</v>
      </c>
      <c r="I149">
        <v>500</v>
      </c>
      <c r="J149">
        <v>500</v>
      </c>
      <c r="K149">
        <v>500</v>
      </c>
      <c r="L149">
        <v>250</v>
      </c>
      <c r="M149">
        <v>250</v>
      </c>
      <c r="N149">
        <v>650</v>
      </c>
      <c r="O149">
        <v>200</v>
      </c>
      <c r="P149">
        <v>200</v>
      </c>
      <c r="Q149">
        <v>250</v>
      </c>
      <c r="R149">
        <v>250</v>
      </c>
      <c r="S149">
        <v>200</v>
      </c>
      <c r="T149">
        <v>500</v>
      </c>
      <c r="U149">
        <v>200</v>
      </c>
      <c r="V149">
        <v>200</v>
      </c>
      <c r="W149">
        <v>200</v>
      </c>
      <c r="X149">
        <v>500</v>
      </c>
      <c r="Y149">
        <v>500</v>
      </c>
      <c r="Z149">
        <v>650</v>
      </c>
      <c r="AA149">
        <v>200</v>
      </c>
      <c r="AB149" s="48">
        <v>150</v>
      </c>
      <c r="AC149">
        <v>150</v>
      </c>
      <c r="AD149">
        <v>250</v>
      </c>
    </row>
    <row r="150" spans="1:34" ht="12.75" dyDescent="0.2" customHeight="1">
      <c r="A150">
        <v>500</v>
      </c>
      <c r="B150">
        <v>500</v>
      </c>
      <c r="C150">
        <v>500</v>
      </c>
      <c r="D150">
        <v>200</v>
      </c>
      <c r="E150">
        <v>200</v>
      </c>
      <c r="F150">
        <v>200</v>
      </c>
      <c r="G150">
        <v>200</v>
      </c>
      <c r="H150">
        <v>200</v>
      </c>
      <c r="I150">
        <v>500</v>
      </c>
      <c r="J150">
        <v>500</v>
      </c>
      <c r="K150">
        <v>500</v>
      </c>
      <c r="L150">
        <v>250</v>
      </c>
      <c r="M150">
        <v>250</v>
      </c>
      <c r="N150">
        <v>650</v>
      </c>
      <c r="O150">
        <v>200</v>
      </c>
      <c r="P150">
        <v>200</v>
      </c>
      <c r="Q150">
        <v>250</v>
      </c>
      <c r="R150">
        <v>250</v>
      </c>
      <c r="S150">
        <v>200</v>
      </c>
      <c r="T150">
        <v>500</v>
      </c>
      <c r="U150">
        <v>200</v>
      </c>
      <c r="V150">
        <v>200</v>
      </c>
      <c r="W150">
        <v>200</v>
      </c>
      <c r="X150">
        <v>500</v>
      </c>
      <c r="Y150">
        <v>500</v>
      </c>
      <c r="Z150">
        <v>650</v>
      </c>
      <c r="AA150">
        <v>200</v>
      </c>
      <c r="AB150">
        <v>150</v>
      </c>
      <c r="AC150" s="48">
        <v>150</v>
      </c>
      <c r="AD150">
        <v>250</v>
      </c>
    </row>
    <row r="151" spans="1:34" ht="12.75" dyDescent="0.2" customHeight="1">
      <c r="A151">
        <v>650</v>
      </c>
      <c r="B151">
        <v>650</v>
      </c>
      <c r="C151">
        <v>650</v>
      </c>
      <c r="D151">
        <v>200</v>
      </c>
      <c r="E151">
        <v>200</v>
      </c>
      <c r="F151">
        <v>200</v>
      </c>
      <c r="G151">
        <v>500</v>
      </c>
      <c r="H151">
        <v>500</v>
      </c>
      <c r="I151">
        <v>650</v>
      </c>
      <c r="J151">
        <v>650</v>
      </c>
      <c r="K151">
        <v>650</v>
      </c>
      <c r="L151">
        <v>500</v>
      </c>
      <c r="M151">
        <v>500</v>
      </c>
      <c r="N151">
        <v>650</v>
      </c>
      <c r="O151">
        <v>650</v>
      </c>
      <c r="P151">
        <v>500</v>
      </c>
      <c r="Q151">
        <v>500</v>
      </c>
      <c r="R151">
        <v>500</v>
      </c>
      <c r="S151">
        <v>200</v>
      </c>
      <c r="T151">
        <v>650</v>
      </c>
      <c r="U151">
        <v>650</v>
      </c>
      <c r="V151">
        <v>650</v>
      </c>
      <c r="W151">
        <v>200</v>
      </c>
      <c r="X151">
        <v>650</v>
      </c>
      <c r="Y151">
        <v>650</v>
      </c>
      <c r="Z151">
        <v>650</v>
      </c>
      <c r="AA151">
        <v>250</v>
      </c>
      <c r="AB151">
        <v>250</v>
      </c>
      <c r="AC151">
        <v>250</v>
      </c>
      <c r="AD151" s="48">
        <v>150</v>
      </c>
    </row>
    <row r="153" spans="1:34" ht="12.75" dyDescent="0.2" customHeight="1">
      <c r="A153" s="4"/>
      <c r="B153" s="55"/>
      <c r="C153" s="55"/>
      <c r="D153" s="55"/>
    </row>
    <row r="154" spans="1:34" ht="12.75" dyDescent="0.2" customHeight="1">
      <c r="A154" s="38"/>
      <c r="B154" s="42"/>
      <c r="C154" s="42"/>
      <c r="D154" s="42"/>
      <c r="E154" s="42"/>
      <c r="F154" s="42"/>
      <c r="G154" s="9"/>
      <c r="I154" s="9"/>
    </row>
    <row r="155" spans="1:34" ht="12.75" dyDescent="0.2" customHeight="1">
      <c r="A155" s="4">
        <v>1</v>
      </c>
      <c r="B155" s="4">
        <v>1.18E-4</v>
      </c>
      <c r="C155" s="4">
        <v>2.3599999999999999E-4</v>
      </c>
      <c r="D155" s="4">
        <v>5.9000000000000003E-4</v>
      </c>
      <c r="E155" s="4">
        <v>1.1800000000000001E-3</v>
      </c>
      <c r="F155" s="4">
        <v>2.3600000000000001E-3</v>
      </c>
      <c r="G155" s="9">
        <v>1</v>
      </c>
      <c r="I155" s="9"/>
    </row>
    <row r="156" spans="1:34" ht="12.75" dyDescent="0.2" customHeight="1">
      <c r="A156" s="49">
        <v>2</v>
      </c>
      <c r="B156" s="4">
        <v>1.27E-4</v>
      </c>
      <c r="C156" s="4">
        <v>2.5399999999999999E-4</v>
      </c>
      <c r="D156" s="4">
        <v>6.3500000000000004E-4</v>
      </c>
      <c r="E156" s="4">
        <v>1.2700000000000001E-3</v>
      </c>
      <c r="F156" s="4">
        <v>2.5400000000000002E-3</v>
      </c>
      <c r="G156" s="9">
        <v>2</v>
      </c>
      <c r="I156" s="9"/>
    </row>
    <row r="157" spans="1:34" ht="12.75" dyDescent="0.2" customHeight="1">
      <c r="A157" s="49">
        <v>3</v>
      </c>
      <c r="B157" s="4">
        <v>1.27E-4</v>
      </c>
      <c r="C157" s="4">
        <v>2.5399999999999999E-4</v>
      </c>
      <c r="D157" s="4">
        <v>6.3500000000000004E-4</v>
      </c>
      <c r="E157" s="4">
        <v>1.2700000000000001E-3</v>
      </c>
      <c r="F157" s="4">
        <v>2.5400000000000002E-3</v>
      </c>
      <c r="G157" s="9">
        <v>3</v>
      </c>
      <c r="I157" s="9"/>
    </row>
    <row r="158" spans="1:34" ht="12.75" dyDescent="0.2" customHeight="1">
      <c r="A158" s="4">
        <v>4</v>
      </c>
      <c r="B158" s="4">
        <v>1.18E-4</v>
      </c>
      <c r="C158" s="4">
        <v>2.3599999999999999E-4</v>
      </c>
      <c r="D158" s="4">
        <v>5.9000000000000003E-4</v>
      </c>
      <c r="E158" s="4">
        <v>1.1800000000000001E-3</v>
      </c>
      <c r="F158" s="4">
        <v>2.3600000000000001E-3</v>
      </c>
      <c r="G158" s="9">
        <v>4</v>
      </c>
      <c r="I158" s="50"/>
    </row>
    <row r="159" spans="1:34" ht="12.75" dyDescent="0.2" customHeight="1">
      <c r="A159" s="4">
        <v>5</v>
      </c>
      <c r="B159" s="4">
        <v>1.18E-4</v>
      </c>
      <c r="C159" s="4">
        <v>2.3599999999999999E-4</v>
      </c>
      <c r="D159" s="4">
        <v>5.9000000000000003E-4</v>
      </c>
      <c r="E159" s="4">
        <v>1.1800000000000001E-3</v>
      </c>
      <c r="F159" s="4">
        <v>2.3600000000000001E-3</v>
      </c>
      <c r="G159" s="9">
        <v>5</v>
      </c>
      <c r="I159" s="9"/>
    </row>
    <row r="160" spans="1:34" ht="12.75" dyDescent="0.2" customHeight="1">
      <c r="A160" s="49">
        <v>6</v>
      </c>
      <c r="B160" s="4">
        <v>1.27E-4</v>
      </c>
      <c r="C160" s="4">
        <v>2.5399999999999999E-4</v>
      </c>
      <c r="D160" s="4">
        <v>6.3500000000000004E-4</v>
      </c>
      <c r="E160" s="4">
        <v>1.2700000000000001E-3</v>
      </c>
      <c r="F160" s="4">
        <v>2.5400000000000002E-3</v>
      </c>
      <c r="G160" s="9">
        <v>5</v>
      </c>
      <c r="I160" s="9"/>
    </row>
    <row r="161" spans="1:34" ht="12.75" dyDescent="0.2" customHeight="1">
      <c r="A161" s="4">
        <v>7</v>
      </c>
      <c r="B161" s="4">
        <v>1.18E-4</v>
      </c>
      <c r="C161" s="4">
        <v>2.3599999999999999E-4</v>
      </c>
      <c r="D161" s="4">
        <v>5.9000000000000003E-4</v>
      </c>
      <c r="E161" s="4">
        <v>1.1800000000000001E-3</v>
      </c>
      <c r="F161" s="4">
        <v>2.3600000000000001E-3</v>
      </c>
      <c r="G161" s="9">
        <v>6</v>
      </c>
      <c r="I161" s="9"/>
    </row>
    <row r="162" spans="1:34" ht="12.75" dyDescent="0.2" customHeight="1">
      <c r="A162" s="49">
        <v>8</v>
      </c>
      <c r="B162" s="4">
        <v>1.27E-4</v>
      </c>
      <c r="C162" s="4">
        <v>2.5399999999999999E-4</v>
      </c>
      <c r="D162" s="4">
        <v>6.3500000000000004E-4</v>
      </c>
      <c r="E162" s="4">
        <v>1.2700000000000001E-3</v>
      </c>
      <c r="F162" s="4">
        <v>2.5400000000000002E-3</v>
      </c>
      <c r="G162" s="9">
        <v>6</v>
      </c>
      <c r="I162" s="9"/>
    </row>
    <row r="163" spans="1:34" ht="12.75" dyDescent="0.2" customHeight="1">
      <c r="A163" s="49">
        <v>9</v>
      </c>
      <c r="B163" s="4">
        <v>1.27E-4</v>
      </c>
      <c r="C163" s="4">
        <v>2.5399999999999999E-4</v>
      </c>
      <c r="D163" s="4">
        <v>6.3500000000000004E-4</v>
      </c>
      <c r="E163" s="4">
        <v>1.2700000000000001E-3</v>
      </c>
      <c r="F163" s="4">
        <v>2.5400000000000002E-3</v>
      </c>
      <c r="G163" s="9">
        <v>7</v>
      </c>
      <c r="I163" s="9"/>
    </row>
    <row r="164" spans="1:34" ht="12.75" dyDescent="0.2" customHeight="1">
      <c r="A164" s="4">
        <v>10</v>
      </c>
      <c r="B164" s="4">
        <v>1.18E-4</v>
      </c>
      <c r="C164" s="4">
        <v>2.3599999999999999E-4</v>
      </c>
      <c r="D164" s="4">
        <v>5.9000000000000003E-4</v>
      </c>
      <c r="E164" s="4">
        <v>1.1800000000000001E-3</v>
      </c>
      <c r="F164" s="4">
        <v>2.3600000000000001E-3</v>
      </c>
      <c r="G164" s="9">
        <v>8</v>
      </c>
      <c r="I164" s="9"/>
    </row>
    <row r="165" spans="1:34" ht="12.75" dyDescent="0.2" customHeight="1">
      <c r="A165" s="49">
        <v>11</v>
      </c>
      <c r="B165" s="4">
        <v>1.27E-4</v>
      </c>
      <c r="C165" s="4">
        <v>2.5399999999999999E-4</v>
      </c>
      <c r="D165" s="4">
        <v>6.3500000000000004E-4</v>
      </c>
      <c r="E165" s="4">
        <v>1.2700000000000001E-3</v>
      </c>
      <c r="F165" s="4">
        <v>2.5400000000000002E-3</v>
      </c>
      <c r="G165" s="9">
        <v>8</v>
      </c>
      <c r="I165" s="9"/>
    </row>
    <row r="166" spans="1:34" ht="12.75" dyDescent="0.2" customHeight="1">
      <c r="A166" s="4">
        <v>12</v>
      </c>
      <c r="B166" s="4">
        <v>1.18E-4</v>
      </c>
      <c r="C166" s="4">
        <v>2.3599999999999999E-4</v>
      </c>
      <c r="D166" s="4">
        <v>5.9000000000000003E-4</v>
      </c>
      <c r="E166" s="4">
        <v>1.1800000000000001E-3</v>
      </c>
      <c r="F166" s="4">
        <v>2.3600000000000001E-3</v>
      </c>
      <c r="G166" s="9">
        <v>9</v>
      </c>
      <c r="I166" s="9"/>
    </row>
    <row r="167" spans="1:34" ht="12.75" dyDescent="0.2" customHeight="1">
      <c r="A167" s="49">
        <v>13</v>
      </c>
      <c r="B167" s="4">
        <v>1.27E-4</v>
      </c>
      <c r="C167" s="4">
        <v>2.5399999999999999E-4</v>
      </c>
      <c r="D167" s="4">
        <v>6.3500000000000004E-4</v>
      </c>
      <c r="E167" s="4">
        <v>1.2700000000000001E-3</v>
      </c>
      <c r="F167" s="4">
        <v>2.5400000000000002E-3</v>
      </c>
      <c r="G167" s="9">
        <v>9</v>
      </c>
      <c r="I167" s="9"/>
    </row>
    <row r="168" spans="1:34" ht="12.75" dyDescent="0.2" customHeight="1">
      <c r="A168" s="49">
        <v>14</v>
      </c>
      <c r="B168" s="4">
        <v>1.27E-4</v>
      </c>
      <c r="C168" s="4">
        <v>2.5399999999999999E-4</v>
      </c>
      <c r="D168" s="4">
        <v>6.3500000000000004E-4</v>
      </c>
      <c r="E168" s="4">
        <v>1.2700000000000001E-3</v>
      </c>
      <c r="F168" s="4">
        <v>2.5400000000000002E-3</v>
      </c>
      <c r="G168" s="9">
        <v>10</v>
      </c>
      <c r="I168" s="9"/>
    </row>
    <row r="169" spans="1:34" ht="12.75" dyDescent="0.2" customHeight="1">
      <c r="A169" s="49">
        <v>15</v>
      </c>
      <c r="B169" s="4">
        <v>1.27E-4</v>
      </c>
      <c r="C169" s="4">
        <v>2.5399999999999999E-4</v>
      </c>
      <c r="D169" s="4">
        <v>6.3500000000000004E-4</v>
      </c>
      <c r="E169" s="4">
        <v>1.2700000000000001E-3</v>
      </c>
      <c r="F169" s="4">
        <v>2.5400000000000002E-3</v>
      </c>
      <c r="G169" s="9">
        <v>11</v>
      </c>
      <c r="I169" s="9"/>
    </row>
    <row r="170" spans="1:34" ht="12.75" dyDescent="0.2" customHeight="1">
      <c r="A170" s="4">
        <v>16</v>
      </c>
      <c r="B170" s="4">
        <v>1.18E-4</v>
      </c>
      <c r="C170" s="4">
        <v>2.3599999999999999E-4</v>
      </c>
      <c r="D170" s="4">
        <v>5.9000000000000003E-4</v>
      </c>
      <c r="E170" s="4">
        <v>1.1800000000000001E-3</v>
      </c>
      <c r="F170" s="4">
        <v>2.3600000000000001E-3</v>
      </c>
      <c r="G170" s="9">
        <v>12</v>
      </c>
      <c r="I170" s="9"/>
    </row>
    <row r="171" spans="1:34" ht="12.75" dyDescent="0.2" customHeight="1">
      <c r="A171" s="49">
        <v>17</v>
      </c>
      <c r="B171" s="4">
        <v>1.27E-4</v>
      </c>
      <c r="C171" s="4">
        <v>2.5399999999999999E-4</v>
      </c>
      <c r="D171" s="4">
        <v>6.3500000000000004E-4</v>
      </c>
      <c r="E171" s="4">
        <v>1.2700000000000001E-3</v>
      </c>
      <c r="F171" s="4">
        <v>2.5400000000000002E-3</v>
      </c>
      <c r="G171" s="9">
        <v>13</v>
      </c>
      <c r="I171" s="9"/>
    </row>
    <row r="172" spans="1:34" ht="12.75" dyDescent="0.2" customHeight="1">
      <c r="A172" s="49">
        <v>18</v>
      </c>
      <c r="B172" s="4">
        <v>1.27E-4</v>
      </c>
      <c r="C172" s="4">
        <v>2.5399999999999999E-4</v>
      </c>
      <c r="D172" s="4">
        <v>6.3500000000000004E-4</v>
      </c>
      <c r="E172" s="4">
        <v>1.2700000000000001E-3</v>
      </c>
      <c r="F172" s="4">
        <v>2.5400000000000002E-3</v>
      </c>
      <c r="G172" s="9">
        <v>14</v>
      </c>
      <c r="I172" s="9"/>
    </row>
    <row r="173" spans="1:34" ht="12.75" dyDescent="0.2" customHeight="1">
      <c r="A173" s="49">
        <v>19</v>
      </c>
      <c r="B173" s="4">
        <v>1.27E-4</v>
      </c>
      <c r="C173" s="4">
        <v>2.5399999999999999E-4</v>
      </c>
      <c r="D173" s="4">
        <v>6.3500000000000004E-4</v>
      </c>
      <c r="E173" s="4">
        <v>1.2700000000000001E-3</v>
      </c>
      <c r="F173" s="4">
        <v>2.5400000000000002E-3</v>
      </c>
      <c r="G173" s="9">
        <v>15</v>
      </c>
      <c r="I173" s="9"/>
    </row>
    <row r="174" spans="1:34" ht="12.75" dyDescent="0.2" customHeight="1">
      <c r="A174" s="49">
        <v>20</v>
      </c>
      <c r="B174" s="4">
        <v>1.27E-4</v>
      </c>
      <c r="C174" s="4">
        <v>2.5399999999999999E-4</v>
      </c>
      <c r="D174" s="4">
        <v>6.3500000000000004E-4</v>
      </c>
      <c r="E174" s="4">
        <v>1.2700000000000001E-3</v>
      </c>
      <c r="F174" s="4">
        <v>2.5400000000000002E-3</v>
      </c>
      <c r="G174" s="9">
        <v>16</v>
      </c>
      <c r="I174" s="9"/>
    </row>
    <row r="175" spans="1:34" ht="12.75" dyDescent="0.2" customHeight="1">
      <c r="A175" s="4">
        <v>21</v>
      </c>
      <c r="B175" s="4">
        <v>1.18E-4</v>
      </c>
      <c r="C175" s="4">
        <v>2.3599999999999999E-4</v>
      </c>
      <c r="D175" s="4">
        <v>5.9000000000000003E-4</v>
      </c>
      <c r="E175" s="4">
        <v>1.1800000000000001E-3</v>
      </c>
      <c r="F175" s="4">
        <v>2.3600000000000001E-3</v>
      </c>
      <c r="G175" s="9">
        <v>17</v>
      </c>
      <c r="I175" s="9"/>
    </row>
    <row r="176" spans="1:34" ht="12.75" dyDescent="0.2" customHeight="1">
      <c r="A176" s="49">
        <v>22</v>
      </c>
      <c r="B176" s="4">
        <v>1.27E-4</v>
      </c>
      <c r="C176" s="4">
        <v>2.5399999999999999E-4</v>
      </c>
      <c r="D176" s="4">
        <v>6.3500000000000004E-4</v>
      </c>
      <c r="E176" s="4">
        <v>1.2700000000000001E-3</v>
      </c>
      <c r="F176" s="4">
        <v>2.5400000000000002E-3</v>
      </c>
      <c r="G176" s="9">
        <v>17</v>
      </c>
      <c r="I176" s="9"/>
    </row>
    <row r="177" spans="1:34" ht="12.75" dyDescent="0.2" customHeight="1">
      <c r="A177" s="49">
        <v>23</v>
      </c>
      <c r="B177" s="4">
        <v>1.27E-4</v>
      </c>
      <c r="C177" s="4">
        <v>2.5399999999999999E-4</v>
      </c>
      <c r="D177" s="4">
        <v>6.3500000000000004E-4</v>
      </c>
      <c r="E177" s="4">
        <v>1.2700000000000001E-3</v>
      </c>
      <c r="F177" s="4">
        <v>2.5400000000000002E-3</v>
      </c>
      <c r="G177" s="9">
        <v>18</v>
      </c>
      <c r="I177" s="9"/>
    </row>
    <row r="178" spans="1:34" ht="12.75" dyDescent="0.2" customHeight="1">
      <c r="A178" s="49">
        <v>24</v>
      </c>
      <c r="B178" s="4">
        <v>1.27E-4</v>
      </c>
      <c r="C178" s="4">
        <v>2.5399999999999999E-4</v>
      </c>
      <c r="D178" s="4">
        <v>6.3500000000000004E-4</v>
      </c>
      <c r="E178" s="4">
        <v>1.2700000000000001E-3</v>
      </c>
      <c r="F178" s="4">
        <v>2.5400000000000002E-3</v>
      </c>
      <c r="G178" s="9">
        <v>19</v>
      </c>
      <c r="I178" s="9"/>
    </row>
    <row r="179" spans="1:34" ht="12.75" dyDescent="0.2" customHeight="1">
      <c r="A179" s="4">
        <v>25</v>
      </c>
      <c r="B179" s="4">
        <v>1.18E-4</v>
      </c>
      <c r="C179" s="4">
        <v>2.3599999999999999E-4</v>
      </c>
      <c r="D179" s="4">
        <v>5.9000000000000003E-4</v>
      </c>
      <c r="E179" s="4">
        <v>1.1800000000000001E-3</v>
      </c>
      <c r="F179" s="4">
        <v>2.3600000000000001E-3</v>
      </c>
      <c r="G179" s="9">
        <v>20</v>
      </c>
    </row>
    <row r="180" spans="1:34" ht="12.75" dyDescent="0.2" customHeight="1">
      <c r="A180" s="4">
        <v>26</v>
      </c>
      <c r="B180" s="4">
        <v>1.18E-4</v>
      </c>
      <c r="C180" s="4">
        <v>2.3599999999999999E-4</v>
      </c>
      <c r="D180" s="4">
        <v>5.9000000000000003E-4</v>
      </c>
      <c r="E180" s="4">
        <v>1.1800000000000001E-3</v>
      </c>
      <c r="F180" s="4">
        <v>2.3600000000000001E-3</v>
      </c>
      <c r="G180" s="9">
        <v>21</v>
      </c>
    </row>
    <row r="181" spans="1:34" ht="12.75" dyDescent="0.2" customHeight="1">
      <c r="A181" s="49">
        <v>27</v>
      </c>
      <c r="B181" s="4">
        <v>1.27E-4</v>
      </c>
      <c r="C181" s="4">
        <v>2.5399999999999999E-4</v>
      </c>
      <c r="D181" s="4">
        <v>6.3500000000000004E-4</v>
      </c>
      <c r="E181" s="4">
        <v>1.2700000000000001E-3</v>
      </c>
      <c r="F181" s="4">
        <v>2.5400000000000002E-3</v>
      </c>
      <c r="G181" s="9">
        <v>22</v>
      </c>
    </row>
    <row r="182" spans="1:34" ht="12.75" dyDescent="0.2" customHeight="1">
      <c r="A182" s="4">
        <v>28</v>
      </c>
      <c r="B182" s="4">
        <v>1.18E-4</v>
      </c>
      <c r="C182" s="4">
        <v>2.3599999999999999E-4</v>
      </c>
      <c r="D182" s="4">
        <v>5.9000000000000003E-4</v>
      </c>
      <c r="E182" s="4">
        <v>1.1800000000000001E-3</v>
      </c>
      <c r="F182" s="4">
        <v>2.3600000000000001E-3</v>
      </c>
      <c r="G182" s="9">
        <v>23</v>
      </c>
    </row>
    <row r="183" spans="1:34" ht="12.75" dyDescent="0.2" customHeight="1">
      <c r="A183" s="49">
        <v>29</v>
      </c>
      <c r="B183" s="4">
        <v>1.27E-4</v>
      </c>
      <c r="C183" s="4">
        <v>2.5399999999999999E-4</v>
      </c>
      <c r="D183" s="4">
        <v>6.3500000000000004E-4</v>
      </c>
      <c r="E183" s="4">
        <v>1.2700000000000001E-3</v>
      </c>
      <c r="F183" s="4">
        <v>2.5400000000000002E-3</v>
      </c>
      <c r="G183" s="9">
        <v>23</v>
      </c>
    </row>
    <row r="184" spans="1:34" ht="12.75" dyDescent="0.2" customHeight="1">
      <c r="A184" s="4">
        <v>30</v>
      </c>
      <c r="B184" s="4">
        <v>1.18E-4</v>
      </c>
      <c r="C184" s="4">
        <v>2.3599999999999999E-4</v>
      </c>
      <c r="D184" s="4">
        <v>5.9000000000000003E-4</v>
      </c>
      <c r="E184" s="4">
        <v>1.1800000000000001E-3</v>
      </c>
      <c r="F184" s="4">
        <v>2.3600000000000001E-3</v>
      </c>
      <c r="G184" s="9">
        <v>24</v>
      </c>
    </row>
    <row r="185" spans="1:34" ht="12.75" dyDescent="0.2" customHeight="1">
      <c r="A185" s="4"/>
    </row>
  </sheetData>
  <mergeCells count="14">
    <mergeCell ref="J2:Q4"/>
    <mergeCell ref="D3:H3"/>
    <mergeCell ref="A10:C10"/>
    <mergeCell ref="B14:C14"/>
    <mergeCell ref="D14:E14"/>
    <mergeCell ref="M32:O32"/>
    <mergeCell ref="P32:R32"/>
    <mergeCell ref="B58:D58"/>
    <mergeCell ref="B153:D153"/>
    <mergeCell ref="B31:C31"/>
    <mergeCell ref="D31:L31"/>
    <mergeCell ref="D32:F32"/>
    <mergeCell ref="G32:I32"/>
    <mergeCell ref="J32:L3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85"/>
  <sheetViews>
    <sheetView topLeftCell="A48" zoomScale="120" zoomScaleNormal="120" workbookViewId="0">
      <selection activeCell="B69" sqref="B69"/>
    </sheetView>
  </sheetViews>
  <sheetFormatPr defaultColWidth="11.85546875" defaultRowHeight="12.75" x14ac:dyDescent="0.2"/>
  <cols>
    <col min="1" max="1" width="31.42578125" customWidth="1"/>
    <col min="2" max="2" width="15.28515625" customWidth="1"/>
    <col min="3" max="5" width="16.42578125" customWidth="1"/>
    <col min="6" max="6" width="15.28515625" customWidth="1"/>
    <col min="7" max="9" width="10.7109375" customWidth="1"/>
    <col min="11" max="12" width="10.7109375" customWidth="1"/>
    <col min="16" max="18" width="10.7109375" customWidth="1"/>
  </cols>
  <sheetData>
    <row r="1" spans="1:56" ht="12.75" dyDescent="0.2" customHeight="1">
      <c r="A1" s="7"/>
      <c r="B1" s="8">
        <v>5</v>
      </c>
    </row>
    <row r="2" spans="1:56" ht="12.75" dyDescent="0.2" customHeight="1">
      <c r="A2" s="7"/>
      <c r="B2" s="8">
        <v>24</v>
      </c>
      <c r="J2" s="61"/>
      <c r="K2" s="61"/>
      <c r="L2" s="61"/>
      <c r="M2" s="61"/>
      <c r="N2" s="61"/>
      <c r="O2" s="61"/>
      <c r="P2" s="61"/>
      <c r="Q2" s="61"/>
    </row>
    <row r="3" spans="1:56" ht="12.75" dyDescent="0.2" customHeight="1">
      <c r="A3" s="7"/>
      <c r="B3" s="8">
        <v>2</v>
      </c>
      <c r="D3" s="56"/>
      <c r="E3" s="56"/>
      <c r="F3" s="56"/>
      <c r="G3" s="56"/>
      <c r="H3" s="56"/>
      <c r="J3" s="61"/>
      <c r="K3" s="61"/>
      <c r="L3" s="61"/>
      <c r="M3" s="61"/>
      <c r="N3" s="61"/>
      <c r="O3" s="61"/>
      <c r="P3" s="61"/>
      <c r="Q3" s="61"/>
    </row>
    <row r="4" spans="1:56" ht="12.75" dyDescent="0.2" customHeight="1">
      <c r="A4" s="7"/>
      <c r="B4" s="8">
        <v>30</v>
      </c>
      <c r="J4" s="61"/>
      <c r="K4" s="61"/>
      <c r="L4" s="61"/>
      <c r="M4" s="61"/>
      <c r="N4" s="61"/>
      <c r="O4" s="61"/>
      <c r="P4" s="61"/>
      <c r="Q4" s="61"/>
    </row>
    <row r="5" spans="1:56" ht="12.75" dyDescent="0.2" customHeight="1">
      <c r="A5" s="7"/>
      <c r="B5" s="8">
        <v>4</v>
      </c>
    </row>
    <row r="6" spans="1:56" ht="12.75" dyDescent="0.2" customHeight="1">
      <c r="A6" s="7"/>
      <c r="B6" s="8">
        <v>2</v>
      </c>
    </row>
    <row r="7" spans="1:56" ht="12.75" dyDescent="0.2" customHeight="1">
      <c r="A7" s="7"/>
      <c r="B7" s="8">
        <v>5</v>
      </c>
    </row>
    <row r="8" spans="1:56" ht="12.75" dyDescent="0.2" customHeight="1">
      <c r="A8" s="7"/>
      <c r="B8" s="8">
        <v>3</v>
      </c>
    </row>
    <row r="9" spans="1:56" ht="12.75" dyDescent="0.2" customHeight="1">
      <c r="A9" s="7"/>
      <c r="B9" s="8">
        <v>3</v>
      </c>
    </row>
    <row r="10" spans="1:56" ht="12.75" dyDescent="0.2" customHeight="1">
      <c r="A10" s="57"/>
      <c r="B10" s="57"/>
      <c r="C10" s="57"/>
      <c r="D10" s="40"/>
      <c r="E10" s="40"/>
    </row>
    <row r="11" spans="1:56" ht="12.75" dyDescent="0.2" customHeight="1">
      <c r="A11" s="41">
        <v>10</v>
      </c>
      <c r="B11" s="41">
        <v>20</v>
      </c>
      <c r="C11" s="41">
        <v>50</v>
      </c>
      <c r="D11" s="41">
        <v>100</v>
      </c>
      <c r="E11" s="41">
        <v>200</v>
      </c>
    </row>
    <row r="12" spans="1:56" ht="12.75" dyDescent="0.2" customHeight="1">
      <c r="A12" s="10"/>
      <c r="B12" s="2"/>
      <c r="C12" s="2"/>
    </row>
    <row r="13" spans="1:56" ht="12.75" dyDescent="0.2" customHeight="1">
      <c r="A13" s="11"/>
      <c r="B13" s="12">
        <v>1000</v>
      </c>
      <c r="C13" s="12">
        <v>2000</v>
      </c>
    </row>
    <row r="14" spans="1:56" ht="12.75" dyDescent="0.2" customHeight="1">
      <c r="A14" s="13"/>
      <c r="B14" s="58"/>
      <c r="C14" s="58"/>
      <c r="D14" s="58"/>
      <c r="E14" s="58"/>
    </row>
    <row r="15" spans="1:56" ht="12.75" dyDescent="0.2" customHeight="1">
      <c r="A15" s="3"/>
      <c r="B15" s="3"/>
      <c r="C15" s="3"/>
      <c r="D15" s="3"/>
      <c r="E15" s="3"/>
    </row>
    <row r="16" spans="1:56" ht="12.75" dyDescent="0.2" customHeight="1">
      <c r="A16" s="14">
        <v>1</v>
      </c>
      <c r="B16" s="14">
        <v>50000</v>
      </c>
      <c r="C16" s="14">
        <v>90</v>
      </c>
      <c r="D16" s="8">
        <v>50000</v>
      </c>
      <c r="E16" s="8">
        <v>200</v>
      </c>
    </row>
    <row r="17" spans="1:56" ht="12.75" dyDescent="0.2" customHeight="1">
      <c r="A17" s="14">
        <v>2</v>
      </c>
      <c r="B17" s="14">
        <v>120000</v>
      </c>
      <c r="C17" s="14">
        <v>100</v>
      </c>
      <c r="D17" s="8">
        <v>250000</v>
      </c>
      <c r="E17" s="8">
        <v>300</v>
      </c>
    </row>
    <row r="18" spans="1:56" ht="12.75" dyDescent="0.2" customHeight="1">
      <c r="A18" s="14">
        <v>3</v>
      </c>
      <c r="B18" s="14">
        <v>500000</v>
      </c>
      <c r="C18" s="14">
        <v>150</v>
      </c>
      <c r="D18" s="8">
        <v>500000</v>
      </c>
      <c r="E18" s="8">
        <v>500</v>
      </c>
    </row>
    <row r="19" spans="1:56" ht="12.75" dyDescent="0.2" customHeight="1">
      <c r="A19" s="14">
        <v>4</v>
      </c>
      <c r="B19" s="14">
        <v>900000</v>
      </c>
      <c r="C19" s="14">
        <v>300</v>
      </c>
      <c r="D19" s="8">
        <v>1000000</v>
      </c>
      <c r="E19" s="8">
        <v>639</v>
      </c>
    </row>
    <row r="20" spans="1:56" ht="12.75" dyDescent="0.2" customHeight="1">
      <c r="A20" s="15">
        <v>5</v>
      </c>
      <c r="B20" s="15">
        <v>50000000</v>
      </c>
      <c r="C20" s="15">
        <v>500</v>
      </c>
      <c r="D20" s="16">
        <v>100000000</v>
      </c>
      <c r="E20" s="16">
        <v>1000</v>
      </c>
    </row>
    <row r="21" spans="1:56" ht="12.75" dyDescent="0.2" customHeight="1">
      <c r="A21" s="17"/>
      <c r="B21" s="17">
        <v>1000</v>
      </c>
      <c r="C21" s="17"/>
      <c r="D21" s="8"/>
      <c r="E21" s="8"/>
    </row>
    <row r="22" spans="1:56" ht="12.75" dyDescent="0.2" customHeight="1">
      <c r="A22" s="3"/>
      <c r="B22" s="3"/>
      <c r="C22" s="3"/>
      <c r="D22" s="8"/>
      <c r="E22" s="8"/>
    </row>
    <row r="23" spans="1:56" ht="12.75" dyDescent="0.2" customHeight="1">
      <c r="A23" s="14">
        <v>1</v>
      </c>
      <c r="B23" s="14">
        <v>2000</v>
      </c>
      <c r="C23" s="14">
        <v>250</v>
      </c>
      <c r="D23" s="8"/>
      <c r="E23" s="8"/>
    </row>
    <row r="24" spans="1:56" ht="12.75" dyDescent="0.2" customHeight="1">
      <c r="A24" s="14">
        <v>2</v>
      </c>
      <c r="B24" s="14">
        <v>50000</v>
      </c>
      <c r="C24" s="14">
        <v>500</v>
      </c>
      <c r="D24" s="8"/>
      <c r="E24" s="8"/>
    </row>
    <row r="25" spans="1:56" ht="12.75" dyDescent="0.2" customHeight="1">
      <c r="A25" s="15">
        <v>3</v>
      </c>
      <c r="B25" s="15">
        <v>802000</v>
      </c>
      <c r="C25" s="15">
        <v>750</v>
      </c>
      <c r="D25" s="8"/>
      <c r="E25" s="8"/>
    </row>
    <row r="26" spans="1:56" ht="12.75" dyDescent="0.2" customHeight="1">
      <c r="A26" s="17"/>
      <c r="B26" s="18">
        <v>500</v>
      </c>
      <c r="C26" s="19"/>
      <c r="D26" s="8"/>
      <c r="E26" s="8"/>
    </row>
    <row r="27" spans="1:56" ht="12.75" dyDescent="0.2" customHeight="1">
      <c r="A27" s="20"/>
      <c r="B27" s="20"/>
      <c r="C27" s="3"/>
      <c r="D27" s="8"/>
      <c r="E27" s="8"/>
    </row>
    <row r="28" spans="1:56" ht="12.75" dyDescent="0.2" customHeight="1">
      <c r="A28" s="14">
        <v>1</v>
      </c>
      <c r="B28" s="14">
        <v>2000</v>
      </c>
      <c r="C28" s="14">
        <v>250</v>
      </c>
      <c r="D28" s="8"/>
      <c r="E28" s="8"/>
    </row>
    <row r="29" spans="1:56" ht="12.75" dyDescent="0.2" customHeight="1">
      <c r="A29" s="14">
        <v>2</v>
      </c>
      <c r="B29" s="14">
        <v>50000</v>
      </c>
      <c r="C29" s="14">
        <v>500</v>
      </c>
      <c r="D29" s="8"/>
      <c r="E29" s="8"/>
    </row>
    <row r="30" spans="1:56" ht="12.75" dyDescent="0.2" customHeight="1">
      <c r="A30" s="14">
        <v>3</v>
      </c>
      <c r="B30" s="15">
        <v>802000</v>
      </c>
      <c r="C30" s="15">
        <v>750</v>
      </c>
      <c r="D30" s="8"/>
      <c r="E30" s="8"/>
    </row>
    <row r="31" spans="1:56" ht="12.75" dyDescent="0.2" customHeight="1">
      <c r="A31" s="21"/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</row>
    <row r="32" spans="1:56" ht="12.75" dyDescent="0.2" customHeight="1">
      <c r="A32" s="14"/>
      <c r="B32" s="22">
        <v>1</v>
      </c>
      <c r="C32" s="22">
        <v>2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</row>
    <row r="33" spans="1:56" ht="12.75" dyDescent="0.2" customHeight="1">
      <c r="A33" s="15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56" ht="12.75" dyDescent="0.2" customHeight="1">
      <c r="A34" s="14">
        <v>1</v>
      </c>
      <c r="B34" s="22">
        <v>1</v>
      </c>
      <c r="C34" s="22">
        <v>0</v>
      </c>
      <c r="D34" s="43">
        <v>0</v>
      </c>
      <c r="E34" s="43">
        <v>0</v>
      </c>
      <c r="F34" s="43">
        <v>0</v>
      </c>
      <c r="G34" s="43">
        <v>0</v>
      </c>
      <c r="H34" s="44">
        <v>0</v>
      </c>
      <c r="I34" s="44">
        <v>0</v>
      </c>
      <c r="J34" s="44">
        <v>0</v>
      </c>
      <c r="K34" s="44">
        <v>0</v>
      </c>
      <c r="L34" s="43">
        <v>0</v>
      </c>
      <c r="M34" s="43">
        <v>0</v>
      </c>
      <c r="N34" s="43">
        <v>0</v>
      </c>
      <c r="O34" s="43">
        <v>0</v>
      </c>
      <c r="P34" s="44">
        <v>0</v>
      </c>
      <c r="Q34" s="44">
        <v>0</v>
      </c>
      <c r="R34" s="44">
        <v>0</v>
      </c>
      <c r="S34" s="44">
        <v>0</v>
      </c>
      <c r="T34" s="43">
        <v>0</v>
      </c>
      <c r="U34" s="43">
        <v>0</v>
      </c>
      <c r="V34" s="43">
        <v>0</v>
      </c>
      <c r="W34" s="43">
        <v>0</v>
      </c>
      <c r="AK34">
        <f t="shared" si="0" ref="AK34:AK57">IF(D34="",0,ROUND(D34,0))</f>
        <v>0</v>
      </c>
      <c r="AL34">
        <f t="shared" si="1" ref="AL34:AL57">IF(E34="",0,ROUND(E34,0))</f>
        <v>0</v>
      </c>
      <c r="AM34">
        <f t="shared" si="2" ref="AM34:AM57">IF(F34="",0,ROUND(F34,0))</f>
        <v>0</v>
      </c>
      <c r="AN34">
        <f t="shared" si="3" ref="AN34:AN57">IF(G34="",0,ROUND(G34,0))</f>
        <v>0</v>
      </c>
      <c r="AO34">
        <f t="shared" si="4" ref="AO34:AO57">IF(H34="",0,ROUND(H34,0))</f>
        <v>0</v>
      </c>
      <c r="AP34">
        <f t="shared" si="5" ref="AP34:AP57">IF(I34="",0,ROUND(I34,0))</f>
        <v>0</v>
      </c>
      <c r="AQ34">
        <f t="shared" si="6" ref="AQ34:AQ57">IF(J34="",0,ROUND(J34,0))</f>
        <v>0</v>
      </c>
      <c r="AR34">
        <f t="shared" si="7" ref="AR34:AR57">IF(K34="",0,ROUND(K34,0))</f>
        <v>0</v>
      </c>
      <c r="AS34">
        <f t="shared" si="8" ref="AS34:AS57">IF(L34="",0,ROUND(L34,0))</f>
        <v>0</v>
      </c>
      <c r="AT34">
        <f t="shared" si="9" ref="AT34:AT57">IF(M34="",0,ROUND(M34,0))</f>
        <v>0</v>
      </c>
      <c r="AU34">
        <f t="shared" si="10" ref="AU34:AU57">IF(N34="",0,ROUND(N34,0))</f>
        <v>0</v>
      </c>
      <c r="AV34">
        <f t="shared" si="11" ref="AV34:AV57">IF(O34="",0,ROUND(O34,0))</f>
        <v>0</v>
      </c>
      <c r="AW34">
        <f t="shared" si="12" ref="AW34:AW57">IF(P34="",0,ROUND(P34,0))</f>
        <v>0</v>
      </c>
      <c r="AX34">
        <f t="shared" si="13" ref="AX34:AX57">IF(Q34="",0,ROUND(Q34,0))</f>
        <v>0</v>
      </c>
      <c r="AY34">
        <f t="shared" si="14" ref="AY34:AY57">IF(R34="",0,ROUND(R34,0))</f>
        <v>0</v>
      </c>
      <c r="AZ34">
        <f t="shared" si="15" ref="AZ34:AZ57">IF(S34="",0,ROUND(S34,0))</f>
        <v>0</v>
      </c>
      <c r="BA34">
        <f t="shared" si="16" ref="BA34:BA57">IF(T34="",0,ROUND(T34,0))</f>
        <v>0</v>
      </c>
      <c r="BB34">
        <f t="shared" si="17" ref="BB34:BB57">IF(U34="",0,ROUND(U34,0))</f>
        <v>0</v>
      </c>
      <c r="BC34">
        <f t="shared" si="18" ref="BC34:BC57">IF(V34="",0,ROUND(V34,0))</f>
        <v>0</v>
      </c>
      <c r="BD34">
        <f t="shared" si="19" ref="BD34:BD57">IF(W34="",0,ROUND(W34,0))</f>
        <v>0</v>
      </c>
    </row>
    <row r="35" spans="1:56" ht="12.75" dyDescent="0.2" customHeight="1">
      <c r="A35" s="14">
        <v>2</v>
      </c>
      <c r="B35" s="22">
        <v>0</v>
      </c>
      <c r="C35" s="22">
        <v>2</v>
      </c>
      <c r="D35" s="43">
        <v>0</v>
      </c>
      <c r="E35" s="43">
        <v>0</v>
      </c>
      <c r="F35" s="43">
        <v>0</v>
      </c>
      <c r="G35" s="43">
        <v>0</v>
      </c>
      <c r="H35" s="44">
        <v>625331</v>
      </c>
      <c r="I35" s="44">
        <v>319405</v>
      </c>
      <c r="J35" s="44">
        <v>138249</v>
      </c>
      <c r="K35" s="44">
        <v>300172</v>
      </c>
      <c r="L35" s="43">
        <v>307288</v>
      </c>
      <c r="M35" s="43">
        <v>156956</v>
      </c>
      <c r="N35" s="43">
        <v>38451</v>
      </c>
      <c r="O35" s="43">
        <v>147505</v>
      </c>
      <c r="P35" s="44">
        <v>5930672</v>
      </c>
      <c r="Q35" s="44">
        <v>2594767</v>
      </c>
      <c r="R35" s="44">
        <v>1241693</v>
      </c>
      <c r="S35" s="44">
        <v>2310780</v>
      </c>
      <c r="T35" s="43">
        <v>139676</v>
      </c>
      <c r="U35" s="43">
        <v>71344</v>
      </c>
      <c r="V35" s="43">
        <v>17478</v>
      </c>
      <c r="W35" s="43">
        <v>67048</v>
      </c>
      <c r="AK35">
        <f t="shared" si="0"/>
        <v>0</v>
      </c>
      <c r="AL35">
        <f t="shared" si="1"/>
        <v>0</v>
      </c>
      <c r="AM35">
        <f t="shared" si="2"/>
        <v>0</v>
      </c>
      <c r="AN35">
        <f t="shared" si="3"/>
        <v>0</v>
      </c>
      <c r="AO35">
        <f t="shared" si="4"/>
        <v>625331</v>
      </c>
      <c r="AP35">
        <f t="shared" si="5"/>
        <v>319405</v>
      </c>
      <c r="AQ35">
        <f t="shared" si="6"/>
        <v>138249</v>
      </c>
      <c r="AR35">
        <f t="shared" si="7"/>
        <v>300172</v>
      </c>
      <c r="AS35">
        <f t="shared" si="8"/>
        <v>307288</v>
      </c>
      <c r="AT35">
        <f t="shared" si="9"/>
        <v>156956</v>
      </c>
      <c r="AU35">
        <f t="shared" si="10"/>
        <v>38451</v>
      </c>
      <c r="AV35">
        <f t="shared" si="11"/>
        <v>147505</v>
      </c>
      <c r="AW35">
        <f t="shared" si="12"/>
        <v>5930672</v>
      </c>
      <c r="AX35">
        <f t="shared" si="13"/>
        <v>2594767</v>
      </c>
      <c r="AY35">
        <f t="shared" si="14"/>
        <v>1241693</v>
      </c>
      <c r="AZ35">
        <f t="shared" si="15"/>
        <v>2310780</v>
      </c>
      <c r="BA35">
        <f t="shared" si="16"/>
        <v>139676</v>
      </c>
      <c r="BB35">
        <f t="shared" si="17"/>
        <v>71344</v>
      </c>
      <c r="BC35">
        <f t="shared" si="18"/>
        <v>17478</v>
      </c>
      <c r="BD35">
        <f t="shared" si="19"/>
        <v>67048</v>
      </c>
    </row>
    <row r="36" spans="1:56" ht="12.75" dyDescent="0.2" customHeight="1">
      <c r="A36" s="14">
        <v>3</v>
      </c>
      <c r="B36" s="22">
        <v>0</v>
      </c>
      <c r="C36" s="22">
        <v>3</v>
      </c>
      <c r="D36" s="43">
        <v>459</v>
      </c>
      <c r="E36" s="43">
        <v>0</v>
      </c>
      <c r="F36" s="43">
        <v>0</v>
      </c>
      <c r="G36" s="43">
        <v>0</v>
      </c>
      <c r="H36" s="44">
        <v>9177</v>
      </c>
      <c r="I36" s="44">
        <v>0</v>
      </c>
      <c r="J36" s="44">
        <v>0</v>
      </c>
      <c r="K36" s="44">
        <v>0</v>
      </c>
      <c r="L36" s="43">
        <v>63321</v>
      </c>
      <c r="M36" s="43">
        <v>0</v>
      </c>
      <c r="N36" s="43">
        <v>0</v>
      </c>
      <c r="O36" s="43">
        <v>0</v>
      </c>
      <c r="P36" s="44">
        <v>371897</v>
      </c>
      <c r="Q36" s="44">
        <v>0</v>
      </c>
      <c r="R36" s="44">
        <v>0</v>
      </c>
      <c r="S36" s="44">
        <v>2350000</v>
      </c>
      <c r="T36" s="43">
        <v>93146</v>
      </c>
      <c r="U36" s="43">
        <v>0</v>
      </c>
      <c r="V36" s="43">
        <v>0</v>
      </c>
      <c r="W36" s="43">
        <v>0</v>
      </c>
      <c r="AK36">
        <f t="shared" si="0"/>
        <v>459</v>
      </c>
      <c r="AL36">
        <f t="shared" si="1"/>
        <v>0</v>
      </c>
      <c r="AM36">
        <f t="shared" si="2"/>
        <v>0</v>
      </c>
      <c r="AN36">
        <f t="shared" si="3"/>
        <v>0</v>
      </c>
      <c r="AO36">
        <f t="shared" si="4"/>
        <v>9177</v>
      </c>
      <c r="AP36">
        <f t="shared" si="5"/>
        <v>0</v>
      </c>
      <c r="AQ36">
        <f t="shared" si="6"/>
        <v>0</v>
      </c>
      <c r="AR36">
        <f t="shared" si="7"/>
        <v>0</v>
      </c>
      <c r="AS36">
        <f t="shared" si="8"/>
        <v>63321</v>
      </c>
      <c r="AT36">
        <f t="shared" si="9"/>
        <v>0</v>
      </c>
      <c r="AU36">
        <f t="shared" si="10"/>
        <v>0</v>
      </c>
      <c r="AV36">
        <f t="shared" si="11"/>
        <v>0</v>
      </c>
      <c r="AW36">
        <f t="shared" si="12"/>
        <v>371897</v>
      </c>
      <c r="AX36">
        <f t="shared" si="13"/>
        <v>0</v>
      </c>
      <c r="AY36">
        <f t="shared" si="14"/>
        <v>0</v>
      </c>
      <c r="AZ36">
        <f t="shared" si="15"/>
        <v>2350000</v>
      </c>
      <c r="BA36">
        <f t="shared" si="16"/>
        <v>93146</v>
      </c>
      <c r="BB36">
        <f t="shared" si="17"/>
        <v>0</v>
      </c>
      <c r="BC36">
        <f t="shared" si="18"/>
        <v>0</v>
      </c>
      <c r="BD36">
        <f t="shared" si="19"/>
        <v>0</v>
      </c>
    </row>
    <row r="37" spans="1:56" ht="12.75" dyDescent="0.2" customHeight="1">
      <c r="A37" s="14">
        <v>4</v>
      </c>
      <c r="B37" s="22">
        <v>4</v>
      </c>
      <c r="C37" s="22">
        <v>0</v>
      </c>
      <c r="D37" s="43">
        <v>0</v>
      </c>
      <c r="E37" s="43">
        <v>0</v>
      </c>
      <c r="F37" s="43">
        <v>6720</v>
      </c>
      <c r="G37" s="43">
        <v>0</v>
      </c>
      <c r="H37" s="44">
        <v>0</v>
      </c>
      <c r="I37" s="44">
        <v>0</v>
      </c>
      <c r="J37" s="44">
        <v>7480</v>
      </c>
      <c r="K37" s="44">
        <v>84000</v>
      </c>
      <c r="L37" s="43">
        <v>0</v>
      </c>
      <c r="M37" s="43">
        <v>200000</v>
      </c>
      <c r="N37" s="43">
        <v>100000</v>
      </c>
      <c r="O37" s="43">
        <v>110000</v>
      </c>
      <c r="P37" s="44">
        <v>0</v>
      </c>
      <c r="Q37" s="44">
        <v>950000</v>
      </c>
      <c r="R37" s="44">
        <v>500000</v>
      </c>
      <c r="S37" s="44">
        <v>1020000</v>
      </c>
      <c r="T37" s="43">
        <v>0</v>
      </c>
      <c r="U37" s="43">
        <v>0</v>
      </c>
      <c r="V37" s="43">
        <v>0</v>
      </c>
      <c r="W37" s="43">
        <v>0</v>
      </c>
      <c r="AK37">
        <f t="shared" si="0"/>
        <v>0</v>
      </c>
      <c r="AL37">
        <f t="shared" si="1"/>
        <v>0</v>
      </c>
      <c r="AM37">
        <f t="shared" si="2"/>
        <v>6720</v>
      </c>
      <c r="AN37">
        <f t="shared" si="3"/>
        <v>0</v>
      </c>
      <c r="AO37">
        <f t="shared" si="4"/>
        <v>0</v>
      </c>
      <c r="AP37">
        <f t="shared" si="5"/>
        <v>0</v>
      </c>
      <c r="AQ37">
        <f t="shared" si="6"/>
        <v>7480</v>
      </c>
      <c r="AR37">
        <f t="shared" si="7"/>
        <v>84000</v>
      </c>
      <c r="AS37">
        <f t="shared" si="8"/>
        <v>0</v>
      </c>
      <c r="AT37">
        <f t="shared" si="9"/>
        <v>200000</v>
      </c>
      <c r="AU37">
        <f t="shared" si="10"/>
        <v>100000</v>
      </c>
      <c r="AV37">
        <f t="shared" si="11"/>
        <v>110000</v>
      </c>
      <c r="AW37">
        <f t="shared" si="12"/>
        <v>0</v>
      </c>
      <c r="AX37">
        <f t="shared" si="13"/>
        <v>950000</v>
      </c>
      <c r="AY37">
        <f t="shared" si="14"/>
        <v>500000</v>
      </c>
      <c r="AZ37">
        <f t="shared" si="15"/>
        <v>1020000</v>
      </c>
      <c r="BA37">
        <f t="shared" si="16"/>
        <v>0</v>
      </c>
      <c r="BB37">
        <f t="shared" si="17"/>
        <v>0</v>
      </c>
      <c r="BC37">
        <f t="shared" si="18"/>
        <v>0</v>
      </c>
      <c r="BD37">
        <f t="shared" si="19"/>
        <v>0</v>
      </c>
    </row>
    <row r="38" spans="1:56" ht="12.75" dyDescent="0.2" customHeight="1">
      <c r="A38" s="15">
        <v>5</v>
      </c>
      <c r="B38" s="23">
        <v>5</v>
      </c>
      <c r="C38" s="23">
        <v>6</v>
      </c>
      <c r="D38" s="45">
        <v>114</v>
      </c>
      <c r="E38" s="45">
        <v>62</v>
      </c>
      <c r="F38" s="45">
        <v>35</v>
      </c>
      <c r="G38" s="45">
        <v>158</v>
      </c>
      <c r="H38" s="46">
        <v>174045</v>
      </c>
      <c r="I38" s="46">
        <v>140209</v>
      </c>
      <c r="J38" s="46">
        <v>22695</v>
      </c>
      <c r="K38" s="44">
        <v>102596</v>
      </c>
      <c r="L38" s="45">
        <v>352840</v>
      </c>
      <c r="M38" s="45">
        <v>591605</v>
      </c>
      <c r="N38" s="45">
        <v>108148</v>
      </c>
      <c r="O38" s="43">
        <v>488889</v>
      </c>
      <c r="P38" s="46">
        <v>4833294</v>
      </c>
      <c r="Q38" s="46">
        <v>4767065</v>
      </c>
      <c r="R38" s="46">
        <v>715173</v>
      </c>
      <c r="S38" s="44">
        <v>3232975</v>
      </c>
      <c r="T38" s="45">
        <v>496746</v>
      </c>
      <c r="U38" s="45">
        <v>52537</v>
      </c>
      <c r="V38" s="45">
        <v>29654</v>
      </c>
      <c r="W38" s="43">
        <v>134050</v>
      </c>
      <c r="AK38">
        <f t="shared" si="0"/>
        <v>114</v>
      </c>
      <c r="AL38">
        <f t="shared" si="1"/>
        <v>62</v>
      </c>
      <c r="AM38">
        <f t="shared" si="2"/>
        <v>35</v>
      </c>
      <c r="AN38">
        <f t="shared" si="3"/>
        <v>158</v>
      </c>
      <c r="AO38">
        <f t="shared" si="4"/>
        <v>174045</v>
      </c>
      <c r="AP38">
        <f t="shared" si="5"/>
        <v>140209</v>
      </c>
      <c r="AQ38">
        <f t="shared" si="6"/>
        <v>22695</v>
      </c>
      <c r="AR38">
        <f t="shared" si="7"/>
        <v>102596</v>
      </c>
      <c r="AS38">
        <f t="shared" si="8"/>
        <v>352840</v>
      </c>
      <c r="AT38">
        <f t="shared" si="9"/>
        <v>591605</v>
      </c>
      <c r="AU38">
        <f t="shared" si="10"/>
        <v>108148</v>
      </c>
      <c r="AV38">
        <f t="shared" si="11"/>
        <v>488889</v>
      </c>
      <c r="AW38">
        <f t="shared" si="12"/>
        <v>4833294</v>
      </c>
      <c r="AX38">
        <f t="shared" si="13"/>
        <v>4767065</v>
      </c>
      <c r="AY38">
        <f t="shared" si="14"/>
        <v>715173</v>
      </c>
      <c r="AZ38">
        <f t="shared" si="15"/>
        <v>3232975</v>
      </c>
      <c r="BA38">
        <f t="shared" si="16"/>
        <v>496746</v>
      </c>
      <c r="BB38">
        <f t="shared" si="17"/>
        <v>52537</v>
      </c>
      <c r="BC38">
        <f t="shared" si="18"/>
        <v>29654</v>
      </c>
      <c r="BD38">
        <f t="shared" si="19"/>
        <v>134050</v>
      </c>
    </row>
    <row r="39" spans="1:56" ht="12.75" dyDescent="0.2" customHeight="1">
      <c r="A39" s="14">
        <v>6</v>
      </c>
      <c r="B39" s="22">
        <v>7</v>
      </c>
      <c r="C39" s="22">
        <v>8</v>
      </c>
      <c r="D39" s="43">
        <v>0</v>
      </c>
      <c r="E39" s="43">
        <v>0</v>
      </c>
      <c r="F39" s="43">
        <v>0</v>
      </c>
      <c r="G39" s="43">
        <v>0</v>
      </c>
      <c r="H39" s="44">
        <v>0</v>
      </c>
      <c r="I39" s="44">
        <v>0</v>
      </c>
      <c r="J39" s="44">
        <v>0</v>
      </c>
      <c r="K39" s="44">
        <v>0</v>
      </c>
      <c r="L39" s="43">
        <v>0</v>
      </c>
      <c r="M39" s="43">
        <v>0</v>
      </c>
      <c r="N39" s="43">
        <v>0</v>
      </c>
      <c r="O39" s="43">
        <v>0</v>
      </c>
      <c r="P39" s="44">
        <v>1728000</v>
      </c>
      <c r="Q39" s="44">
        <v>1014000</v>
      </c>
      <c r="R39" s="44">
        <v>876000</v>
      </c>
      <c r="S39" s="44">
        <v>1082000</v>
      </c>
      <c r="T39" s="43">
        <v>0</v>
      </c>
      <c r="U39" s="43">
        <v>0</v>
      </c>
      <c r="V39" s="43">
        <v>0</v>
      </c>
      <c r="W39" s="43">
        <v>0</v>
      </c>
      <c r="AK39">
        <f t="shared" si="0"/>
        <v>0</v>
      </c>
      <c r="AL39">
        <f t="shared" si="1"/>
        <v>0</v>
      </c>
      <c r="AM39">
        <f t="shared" si="2"/>
        <v>0</v>
      </c>
      <c r="AN39">
        <f t="shared" si="3"/>
        <v>0</v>
      </c>
      <c r="AO39">
        <f t="shared" si="4"/>
        <v>0</v>
      </c>
      <c r="AP39">
        <f t="shared" si="5"/>
        <v>0</v>
      </c>
      <c r="AQ39">
        <f t="shared" si="6"/>
        <v>0</v>
      </c>
      <c r="AR39">
        <f t="shared" si="7"/>
        <v>0</v>
      </c>
      <c r="AS39">
        <f t="shared" si="8"/>
        <v>0</v>
      </c>
      <c r="AT39">
        <f t="shared" si="9"/>
        <v>0</v>
      </c>
      <c r="AU39">
        <f t="shared" si="10"/>
        <v>0</v>
      </c>
      <c r="AV39">
        <f t="shared" si="11"/>
        <v>0</v>
      </c>
      <c r="AW39">
        <f t="shared" si="12"/>
        <v>1728000</v>
      </c>
      <c r="AX39">
        <f t="shared" si="13"/>
        <v>1014000</v>
      </c>
      <c r="AY39">
        <f t="shared" si="14"/>
        <v>876000</v>
      </c>
      <c r="AZ39">
        <f t="shared" si="15"/>
        <v>1082000</v>
      </c>
      <c r="BA39">
        <f t="shared" si="16"/>
        <v>0</v>
      </c>
      <c r="BB39">
        <f t="shared" si="17"/>
        <v>0</v>
      </c>
      <c r="BC39">
        <f t="shared" si="18"/>
        <v>0</v>
      </c>
      <c r="BD39">
        <f t="shared" si="19"/>
        <v>0</v>
      </c>
    </row>
    <row r="40" spans="1:56" ht="12.75" dyDescent="0.2" customHeight="1">
      <c r="A40" s="15">
        <v>7</v>
      </c>
      <c r="B40" s="22">
        <v>0</v>
      </c>
      <c r="C40" s="22">
        <v>9</v>
      </c>
      <c r="D40" s="43">
        <v>15543</v>
      </c>
      <c r="E40" s="43">
        <v>10980</v>
      </c>
      <c r="F40" s="43">
        <v>6355</v>
      </c>
      <c r="G40" s="43">
        <v>21849</v>
      </c>
      <c r="H40" s="44">
        <v>24177</v>
      </c>
      <c r="I40" s="44">
        <v>17080</v>
      </c>
      <c r="J40" s="44">
        <v>9885</v>
      </c>
      <c r="K40" s="44">
        <v>33765</v>
      </c>
      <c r="L40" s="43">
        <v>129522</v>
      </c>
      <c r="M40" s="43">
        <v>91501</v>
      </c>
      <c r="N40" s="43">
        <v>52958</v>
      </c>
      <c r="O40" s="43">
        <v>168741</v>
      </c>
      <c r="P40" s="44">
        <v>2296856</v>
      </c>
      <c r="Q40" s="44">
        <v>1622618</v>
      </c>
      <c r="R40" s="44">
        <v>939118</v>
      </c>
      <c r="S40" s="44">
        <v>2647680</v>
      </c>
      <c r="T40" s="43">
        <v>0</v>
      </c>
      <c r="U40" s="43">
        <v>0</v>
      </c>
      <c r="V40" s="43">
        <v>0</v>
      </c>
      <c r="W40" s="43">
        <v>0</v>
      </c>
      <c r="AK40">
        <f t="shared" si="0"/>
        <v>15543</v>
      </c>
      <c r="AL40">
        <f t="shared" si="1"/>
        <v>10980</v>
      </c>
      <c r="AM40">
        <f t="shared" si="2"/>
        <v>6355</v>
      </c>
      <c r="AN40">
        <f t="shared" si="3"/>
        <v>21849</v>
      </c>
      <c r="AO40">
        <f t="shared" si="4"/>
        <v>24177</v>
      </c>
      <c r="AP40">
        <f t="shared" si="5"/>
        <v>17080</v>
      </c>
      <c r="AQ40">
        <f t="shared" si="6"/>
        <v>9885</v>
      </c>
      <c r="AR40">
        <f t="shared" si="7"/>
        <v>33765</v>
      </c>
      <c r="AS40">
        <f t="shared" si="8"/>
        <v>129522</v>
      </c>
      <c r="AT40">
        <f t="shared" si="9"/>
        <v>91501</v>
      </c>
      <c r="AU40">
        <f t="shared" si="10"/>
        <v>52958</v>
      </c>
      <c r="AV40">
        <f t="shared" si="11"/>
        <v>168741</v>
      </c>
      <c r="AW40">
        <f t="shared" si="12"/>
        <v>2296856</v>
      </c>
      <c r="AX40">
        <f t="shared" si="13"/>
        <v>1622618</v>
      </c>
      <c r="AY40">
        <f t="shared" si="14"/>
        <v>939118</v>
      </c>
      <c r="AZ40">
        <f t="shared" si="15"/>
        <v>2647680</v>
      </c>
      <c r="BA40">
        <f t="shared" si="16"/>
        <v>0</v>
      </c>
      <c r="BB40">
        <f t="shared" si="17"/>
        <v>0</v>
      </c>
      <c r="BC40">
        <f t="shared" si="18"/>
        <v>0</v>
      </c>
      <c r="BD40">
        <f t="shared" si="19"/>
        <v>0</v>
      </c>
    </row>
    <row r="41" spans="1:56" ht="12.75" dyDescent="0.2" customHeight="1">
      <c r="A41" s="14">
        <v>8</v>
      </c>
      <c r="B41" s="22">
        <v>10</v>
      </c>
      <c r="C41" s="22">
        <v>11</v>
      </c>
      <c r="D41" s="43">
        <v>46693</v>
      </c>
      <c r="E41" s="43">
        <v>47118</v>
      </c>
      <c r="F41" s="43">
        <v>4920</v>
      </c>
      <c r="G41" s="43">
        <v>78687</v>
      </c>
      <c r="H41" s="44">
        <v>51494</v>
      </c>
      <c r="I41" s="44">
        <v>58638</v>
      </c>
      <c r="J41" s="44">
        <v>0</v>
      </c>
      <c r="K41" s="44">
        <v>142122</v>
      </c>
      <c r="L41" s="43">
        <v>26398</v>
      </c>
      <c r="M41" s="43">
        <v>30060</v>
      </c>
      <c r="N41" s="43">
        <v>0</v>
      </c>
      <c r="O41" s="43">
        <v>77856</v>
      </c>
      <c r="P41" s="44">
        <v>597717</v>
      </c>
      <c r="Q41" s="44">
        <v>680633</v>
      </c>
      <c r="R41" s="44">
        <v>7800</v>
      </c>
      <c r="S41" s="44">
        <v>1939669</v>
      </c>
      <c r="T41" s="43">
        <v>90706</v>
      </c>
      <c r="U41" s="43">
        <v>103289</v>
      </c>
      <c r="V41" s="43">
        <v>0</v>
      </c>
      <c r="W41" s="43">
        <v>250345</v>
      </c>
      <c r="AK41">
        <f t="shared" si="0"/>
        <v>46693</v>
      </c>
      <c r="AL41">
        <f t="shared" si="1"/>
        <v>47118</v>
      </c>
      <c r="AM41">
        <f t="shared" si="2"/>
        <v>4920</v>
      </c>
      <c r="AN41">
        <f t="shared" si="3"/>
        <v>78687</v>
      </c>
      <c r="AO41">
        <f t="shared" si="4"/>
        <v>51494</v>
      </c>
      <c r="AP41">
        <f t="shared" si="5"/>
        <v>58638</v>
      </c>
      <c r="AQ41">
        <f t="shared" si="6"/>
        <v>0</v>
      </c>
      <c r="AR41">
        <f t="shared" si="7"/>
        <v>142122</v>
      </c>
      <c r="AS41">
        <f t="shared" si="8"/>
        <v>26398</v>
      </c>
      <c r="AT41">
        <f t="shared" si="9"/>
        <v>30060</v>
      </c>
      <c r="AU41">
        <f t="shared" si="10"/>
        <v>0</v>
      </c>
      <c r="AV41">
        <f t="shared" si="11"/>
        <v>77856</v>
      </c>
      <c r="AW41">
        <f t="shared" si="12"/>
        <v>597717</v>
      </c>
      <c r="AX41">
        <f t="shared" si="13"/>
        <v>680633</v>
      </c>
      <c r="AY41">
        <f t="shared" si="14"/>
        <v>7800</v>
      </c>
      <c r="AZ41">
        <f t="shared" si="15"/>
        <v>1939669</v>
      </c>
      <c r="BA41">
        <f t="shared" si="16"/>
        <v>90706</v>
      </c>
      <c r="BB41">
        <f t="shared" si="17"/>
        <v>103289</v>
      </c>
      <c r="BC41">
        <f t="shared" si="18"/>
        <v>0</v>
      </c>
      <c r="BD41">
        <f t="shared" si="19"/>
        <v>250345</v>
      </c>
    </row>
    <row r="42" spans="1:56" ht="12.75" dyDescent="0.2" customHeight="1">
      <c r="A42" s="15">
        <v>9</v>
      </c>
      <c r="B42" s="22">
        <v>12</v>
      </c>
      <c r="C42" s="22">
        <v>13</v>
      </c>
      <c r="D42" s="43">
        <v>0</v>
      </c>
      <c r="E42" s="43">
        <v>0</v>
      </c>
      <c r="F42" s="43">
        <v>0</v>
      </c>
      <c r="G42" s="43">
        <v>0</v>
      </c>
      <c r="H42" s="44">
        <v>115192</v>
      </c>
      <c r="I42" s="44">
        <v>0</v>
      </c>
      <c r="J42" s="44">
        <v>30513</v>
      </c>
      <c r="K42" s="44">
        <v>168846</v>
      </c>
      <c r="L42" s="43">
        <v>69115</v>
      </c>
      <c r="M42" s="43">
        <v>0</v>
      </c>
      <c r="N42" s="43">
        <v>18308</v>
      </c>
      <c r="O42" s="43">
        <v>101308</v>
      </c>
      <c r="P42" s="44">
        <v>1497500</v>
      </c>
      <c r="Q42" s="44">
        <v>0</v>
      </c>
      <c r="R42" s="44">
        <v>2896667</v>
      </c>
      <c r="S42" s="44">
        <v>2195000</v>
      </c>
      <c r="T42" s="43">
        <v>115192</v>
      </c>
      <c r="U42" s="43">
        <v>0</v>
      </c>
      <c r="V42" s="43">
        <v>530513</v>
      </c>
      <c r="W42" s="43">
        <v>168846</v>
      </c>
      <c r="AK42">
        <f t="shared" si="0"/>
        <v>0</v>
      </c>
      <c r="AL42">
        <f t="shared" si="1"/>
        <v>0</v>
      </c>
      <c r="AM42">
        <f t="shared" si="2"/>
        <v>0</v>
      </c>
      <c r="AN42">
        <f t="shared" si="3"/>
        <v>0</v>
      </c>
      <c r="AO42">
        <f t="shared" si="4"/>
        <v>115192</v>
      </c>
      <c r="AP42">
        <f t="shared" si="5"/>
        <v>0</v>
      </c>
      <c r="AQ42">
        <f t="shared" si="6"/>
        <v>30513</v>
      </c>
      <c r="AR42">
        <f t="shared" si="7"/>
        <v>168846</v>
      </c>
      <c r="AS42">
        <f t="shared" si="8"/>
        <v>69115</v>
      </c>
      <c r="AT42">
        <f t="shared" si="9"/>
        <v>0</v>
      </c>
      <c r="AU42">
        <f t="shared" si="10"/>
        <v>18308</v>
      </c>
      <c r="AV42">
        <f t="shared" si="11"/>
        <v>101308</v>
      </c>
      <c r="AW42">
        <f t="shared" si="12"/>
        <v>1497500</v>
      </c>
      <c r="AX42">
        <f t="shared" si="13"/>
        <v>0</v>
      </c>
      <c r="AY42">
        <f t="shared" si="14"/>
        <v>2896667</v>
      </c>
      <c r="AZ42">
        <f t="shared" si="15"/>
        <v>2195000</v>
      </c>
      <c r="BA42">
        <f t="shared" si="16"/>
        <v>115192</v>
      </c>
      <c r="BB42">
        <f t="shared" si="17"/>
        <v>0</v>
      </c>
      <c r="BC42">
        <f t="shared" si="18"/>
        <v>530513</v>
      </c>
      <c r="BD42">
        <f t="shared" si="19"/>
        <v>168846</v>
      </c>
    </row>
    <row r="43" spans="1:56" ht="12.75" dyDescent="0.2" customHeight="1">
      <c r="A43" s="14">
        <v>10</v>
      </c>
      <c r="B43" s="22">
        <v>0</v>
      </c>
      <c r="C43" s="22">
        <v>14</v>
      </c>
      <c r="D43" s="43">
        <v>0</v>
      </c>
      <c r="E43" s="43">
        <v>0</v>
      </c>
      <c r="F43" s="43">
        <v>0</v>
      </c>
      <c r="G43" s="43">
        <v>0</v>
      </c>
      <c r="H43" s="44">
        <v>215207</v>
      </c>
      <c r="I43" s="44">
        <v>230331</v>
      </c>
      <c r="J43" s="44">
        <v>186670</v>
      </c>
      <c r="K43" s="44">
        <v>246855</v>
      </c>
      <c r="L43" s="43">
        <v>713387</v>
      </c>
      <c r="M43" s="43">
        <v>432033</v>
      </c>
      <c r="N43" s="43">
        <v>618793</v>
      </c>
      <c r="O43" s="43">
        <v>1386808</v>
      </c>
      <c r="P43" s="44">
        <v>2386505</v>
      </c>
      <c r="Q43" s="44">
        <v>3745287</v>
      </c>
      <c r="R43" s="44">
        <v>2070056</v>
      </c>
      <c r="S43" s="44">
        <v>2828527</v>
      </c>
      <c r="T43" s="43">
        <v>499096</v>
      </c>
      <c r="U43" s="43">
        <v>302257</v>
      </c>
      <c r="V43" s="43">
        <v>432916</v>
      </c>
      <c r="W43" s="43">
        <v>740578</v>
      </c>
      <c r="AK43">
        <f t="shared" si="0"/>
        <v>0</v>
      </c>
      <c r="AL43">
        <f t="shared" si="1"/>
        <v>0</v>
      </c>
      <c r="AM43">
        <f t="shared" si="2"/>
        <v>0</v>
      </c>
      <c r="AN43">
        <f t="shared" si="3"/>
        <v>0</v>
      </c>
      <c r="AO43">
        <f t="shared" si="4"/>
        <v>215207</v>
      </c>
      <c r="AP43">
        <f t="shared" si="5"/>
        <v>230331</v>
      </c>
      <c r="AQ43">
        <f t="shared" si="6"/>
        <v>186670</v>
      </c>
      <c r="AR43">
        <f t="shared" si="7"/>
        <v>246855</v>
      </c>
      <c r="AS43">
        <f t="shared" si="8"/>
        <v>713387</v>
      </c>
      <c r="AT43">
        <f t="shared" si="9"/>
        <v>432033</v>
      </c>
      <c r="AU43">
        <f t="shared" si="10"/>
        <v>618793</v>
      </c>
      <c r="AV43">
        <f t="shared" si="11"/>
        <v>1386808</v>
      </c>
      <c r="AW43">
        <f t="shared" si="12"/>
        <v>2386505</v>
      </c>
      <c r="AX43">
        <f t="shared" si="13"/>
        <v>3745287</v>
      </c>
      <c r="AY43">
        <f t="shared" si="14"/>
        <v>2070056</v>
      </c>
      <c r="AZ43">
        <f t="shared" si="15"/>
        <v>2828527</v>
      </c>
      <c r="BA43">
        <f t="shared" si="16"/>
        <v>499096</v>
      </c>
      <c r="BB43">
        <f t="shared" si="17"/>
        <v>302257</v>
      </c>
      <c r="BC43">
        <f t="shared" si="18"/>
        <v>432916</v>
      </c>
      <c r="BD43">
        <f t="shared" si="19"/>
        <v>740578</v>
      </c>
    </row>
    <row r="44" spans="1:56" ht="12.75" dyDescent="0.2" customHeight="1">
      <c r="A44" s="15">
        <v>11</v>
      </c>
      <c r="B44" s="22">
        <v>0</v>
      </c>
      <c r="C44" s="22">
        <v>15</v>
      </c>
      <c r="D44" s="43">
        <v>0</v>
      </c>
      <c r="E44" s="43">
        <v>0</v>
      </c>
      <c r="F44" s="43">
        <v>0</v>
      </c>
      <c r="G44" s="43">
        <v>0</v>
      </c>
      <c r="H44" s="44">
        <v>219756</v>
      </c>
      <c r="I44" s="44">
        <v>65789</v>
      </c>
      <c r="J44" s="44">
        <v>0</v>
      </c>
      <c r="K44" s="44">
        <v>65789</v>
      </c>
      <c r="L44" s="43">
        <v>478293</v>
      </c>
      <c r="M44" s="43">
        <v>143187</v>
      </c>
      <c r="N44" s="43">
        <v>0</v>
      </c>
      <c r="O44" s="43">
        <v>143187</v>
      </c>
      <c r="P44" s="44">
        <v>723902</v>
      </c>
      <c r="Q44" s="44">
        <v>216715</v>
      </c>
      <c r="R44" s="44">
        <v>0</v>
      </c>
      <c r="S44" s="44">
        <v>216715</v>
      </c>
      <c r="T44" s="43">
        <v>168049</v>
      </c>
      <c r="U44" s="43">
        <v>50309</v>
      </c>
      <c r="V44" s="43">
        <v>0</v>
      </c>
      <c r="W44" s="43">
        <v>50309</v>
      </c>
      <c r="AK44">
        <f t="shared" si="0"/>
        <v>0</v>
      </c>
      <c r="AL44">
        <f t="shared" si="1"/>
        <v>0</v>
      </c>
      <c r="AM44">
        <f t="shared" si="2"/>
        <v>0</v>
      </c>
      <c r="AN44">
        <f t="shared" si="3"/>
        <v>0</v>
      </c>
      <c r="AO44">
        <f t="shared" si="4"/>
        <v>219756</v>
      </c>
      <c r="AP44">
        <f t="shared" si="5"/>
        <v>65789</v>
      </c>
      <c r="AQ44">
        <f t="shared" si="6"/>
        <v>0</v>
      </c>
      <c r="AR44">
        <f t="shared" si="7"/>
        <v>65789</v>
      </c>
      <c r="AS44">
        <f t="shared" si="8"/>
        <v>478293</v>
      </c>
      <c r="AT44">
        <f t="shared" si="9"/>
        <v>143187</v>
      </c>
      <c r="AU44">
        <f t="shared" si="10"/>
        <v>0</v>
      </c>
      <c r="AV44">
        <f t="shared" si="11"/>
        <v>143187</v>
      </c>
      <c r="AW44">
        <f t="shared" si="12"/>
        <v>723902</v>
      </c>
      <c r="AX44">
        <f t="shared" si="13"/>
        <v>216715</v>
      </c>
      <c r="AY44">
        <f t="shared" si="14"/>
        <v>0</v>
      </c>
      <c r="AZ44">
        <f t="shared" si="15"/>
        <v>216715</v>
      </c>
      <c r="BA44">
        <f t="shared" si="16"/>
        <v>168049</v>
      </c>
      <c r="BB44">
        <f t="shared" si="17"/>
        <v>50309</v>
      </c>
      <c r="BC44">
        <f t="shared" si="18"/>
        <v>0</v>
      </c>
      <c r="BD44">
        <f t="shared" si="19"/>
        <v>50309</v>
      </c>
    </row>
    <row r="45" spans="1:56" ht="12.75" dyDescent="0.2" customHeight="1">
      <c r="A45" s="14">
        <v>12</v>
      </c>
      <c r="B45" s="22">
        <v>16</v>
      </c>
      <c r="C45" s="22">
        <v>0</v>
      </c>
      <c r="D45" s="43">
        <v>1170</v>
      </c>
      <c r="E45" s="43">
        <v>0</v>
      </c>
      <c r="F45" s="43">
        <v>0</v>
      </c>
      <c r="G45" s="43">
        <v>0</v>
      </c>
      <c r="H45" s="44">
        <v>160840</v>
      </c>
      <c r="I45" s="44">
        <v>0</v>
      </c>
      <c r="J45" s="44">
        <v>0</v>
      </c>
      <c r="K45" s="44">
        <v>0</v>
      </c>
      <c r="L45" s="43">
        <v>0</v>
      </c>
      <c r="M45" s="43">
        <v>0</v>
      </c>
      <c r="N45" s="43">
        <v>300000</v>
      </c>
      <c r="O45" s="43">
        <v>0</v>
      </c>
      <c r="P45" s="44">
        <v>800000</v>
      </c>
      <c r="Q45" s="44">
        <v>0</v>
      </c>
      <c r="R45" s="44">
        <v>2000000</v>
      </c>
      <c r="S45" s="44">
        <v>0</v>
      </c>
      <c r="T45" s="43">
        <v>0</v>
      </c>
      <c r="U45" s="43">
        <v>0</v>
      </c>
      <c r="V45" s="43">
        <v>200000</v>
      </c>
      <c r="W45" s="43">
        <v>0</v>
      </c>
      <c r="AK45">
        <f t="shared" si="0"/>
        <v>1170</v>
      </c>
      <c r="AL45">
        <f t="shared" si="1"/>
        <v>0</v>
      </c>
      <c r="AM45">
        <f t="shared" si="2"/>
        <v>0</v>
      </c>
      <c r="AN45">
        <f t="shared" si="3"/>
        <v>0</v>
      </c>
      <c r="AO45">
        <f t="shared" si="4"/>
        <v>160840</v>
      </c>
      <c r="AP45">
        <f t="shared" si="5"/>
        <v>0</v>
      </c>
      <c r="AQ45">
        <f t="shared" si="6"/>
        <v>0</v>
      </c>
      <c r="AR45">
        <f t="shared" si="7"/>
        <v>0</v>
      </c>
      <c r="AS45">
        <f t="shared" si="8"/>
        <v>0</v>
      </c>
      <c r="AT45">
        <f t="shared" si="9"/>
        <v>0</v>
      </c>
      <c r="AU45">
        <f t="shared" si="10"/>
        <v>300000</v>
      </c>
      <c r="AV45">
        <f t="shared" si="11"/>
        <v>0</v>
      </c>
      <c r="AW45">
        <f t="shared" si="12"/>
        <v>800000</v>
      </c>
      <c r="AX45">
        <f t="shared" si="13"/>
        <v>0</v>
      </c>
      <c r="AY45">
        <f t="shared" si="14"/>
        <v>2000000</v>
      </c>
      <c r="AZ45">
        <f t="shared" si="15"/>
        <v>0</v>
      </c>
      <c r="BA45">
        <f t="shared" si="16"/>
        <v>0</v>
      </c>
      <c r="BB45">
        <f t="shared" si="17"/>
        <v>0</v>
      </c>
      <c r="BC45">
        <f t="shared" si="18"/>
        <v>200000</v>
      </c>
      <c r="BD45">
        <f t="shared" si="19"/>
        <v>0</v>
      </c>
    </row>
    <row r="46" spans="1:56" ht="12.75" dyDescent="0.2" customHeight="1">
      <c r="A46" s="15">
        <v>13</v>
      </c>
      <c r="B46" s="22">
        <v>0</v>
      </c>
      <c r="C46" s="22">
        <v>17</v>
      </c>
      <c r="D46" s="43">
        <v>0</v>
      </c>
      <c r="E46" s="43">
        <v>0</v>
      </c>
      <c r="F46" s="43">
        <v>0</v>
      </c>
      <c r="G46" s="43">
        <v>0</v>
      </c>
      <c r="H46" s="44">
        <v>174183</v>
      </c>
      <c r="I46" s="44">
        <v>1134</v>
      </c>
      <c r="J46" s="44">
        <v>0</v>
      </c>
      <c r="K46" s="44">
        <v>149218</v>
      </c>
      <c r="L46" s="43">
        <v>84282</v>
      </c>
      <c r="M46" s="43">
        <v>549</v>
      </c>
      <c r="N46" s="43">
        <v>0</v>
      </c>
      <c r="O46" s="43">
        <v>93170</v>
      </c>
      <c r="P46" s="44">
        <v>1584499</v>
      </c>
      <c r="Q46" s="44">
        <v>10317</v>
      </c>
      <c r="R46" s="44">
        <v>0</v>
      </c>
      <c r="S46" s="44">
        <v>1361594</v>
      </c>
      <c r="T46" s="43">
        <v>0</v>
      </c>
      <c r="U46" s="43">
        <v>0</v>
      </c>
      <c r="V46" s="43">
        <v>0</v>
      </c>
      <c r="W46" s="43">
        <v>0</v>
      </c>
      <c r="AK46">
        <f t="shared" si="0"/>
        <v>0</v>
      </c>
      <c r="AL46">
        <f t="shared" si="1"/>
        <v>0</v>
      </c>
      <c r="AM46">
        <f t="shared" si="2"/>
        <v>0</v>
      </c>
      <c r="AN46">
        <f t="shared" si="3"/>
        <v>0</v>
      </c>
      <c r="AO46">
        <f t="shared" si="4"/>
        <v>174183</v>
      </c>
      <c r="AP46">
        <f t="shared" si="5"/>
        <v>1134</v>
      </c>
      <c r="AQ46">
        <f t="shared" si="6"/>
        <v>0</v>
      </c>
      <c r="AR46">
        <f t="shared" si="7"/>
        <v>149218</v>
      </c>
      <c r="AS46">
        <f t="shared" si="8"/>
        <v>84282</v>
      </c>
      <c r="AT46">
        <f t="shared" si="9"/>
        <v>549</v>
      </c>
      <c r="AU46">
        <f t="shared" si="10"/>
        <v>0</v>
      </c>
      <c r="AV46">
        <f t="shared" si="11"/>
        <v>93170</v>
      </c>
      <c r="AW46">
        <f t="shared" si="12"/>
        <v>1584499</v>
      </c>
      <c r="AX46">
        <f t="shared" si="13"/>
        <v>10317</v>
      </c>
      <c r="AY46">
        <f t="shared" si="14"/>
        <v>0</v>
      </c>
      <c r="AZ46">
        <f t="shared" si="15"/>
        <v>1361594</v>
      </c>
      <c r="BA46">
        <f t="shared" si="16"/>
        <v>0</v>
      </c>
      <c r="BB46">
        <f t="shared" si="17"/>
        <v>0</v>
      </c>
      <c r="BC46">
        <f t="shared" si="18"/>
        <v>0</v>
      </c>
      <c r="BD46">
        <f t="shared" si="19"/>
        <v>0</v>
      </c>
    </row>
    <row r="47" spans="1:56" ht="12.75" dyDescent="0.2" customHeight="1">
      <c r="A47" s="14">
        <v>14</v>
      </c>
      <c r="B47" s="22">
        <v>0</v>
      </c>
      <c r="C47" s="22">
        <v>18</v>
      </c>
      <c r="D47" s="43">
        <v>96102</v>
      </c>
      <c r="E47" s="43">
        <v>112541</v>
      </c>
      <c r="F47" s="43">
        <v>23734</v>
      </c>
      <c r="G47" s="43">
        <v>66922</v>
      </c>
      <c r="H47" s="44">
        <v>64068</v>
      </c>
      <c r="I47" s="44">
        <v>75027</v>
      </c>
      <c r="J47" s="44">
        <v>15823</v>
      </c>
      <c r="K47" s="44">
        <v>44614</v>
      </c>
      <c r="L47" s="43">
        <v>0</v>
      </c>
      <c r="M47" s="43">
        <v>0</v>
      </c>
      <c r="N47" s="43">
        <v>0</v>
      </c>
      <c r="O47" s="43">
        <v>0</v>
      </c>
      <c r="P47" s="44">
        <v>1382526</v>
      </c>
      <c r="Q47" s="44">
        <v>1619010</v>
      </c>
      <c r="R47" s="44">
        <v>341433</v>
      </c>
      <c r="S47" s="44">
        <v>962730</v>
      </c>
      <c r="T47" s="43">
        <v>0</v>
      </c>
      <c r="U47" s="43">
        <v>0</v>
      </c>
      <c r="V47" s="43">
        <v>0</v>
      </c>
      <c r="W47" s="43">
        <v>0</v>
      </c>
      <c r="AK47">
        <f t="shared" si="0"/>
        <v>96102</v>
      </c>
      <c r="AL47">
        <f t="shared" si="1"/>
        <v>112541</v>
      </c>
      <c r="AM47">
        <f t="shared" si="2"/>
        <v>23734</v>
      </c>
      <c r="AN47">
        <f t="shared" si="3"/>
        <v>66922</v>
      </c>
      <c r="AO47">
        <f t="shared" si="4"/>
        <v>64068</v>
      </c>
      <c r="AP47">
        <f t="shared" si="5"/>
        <v>75027</v>
      </c>
      <c r="AQ47">
        <f t="shared" si="6"/>
        <v>15823</v>
      </c>
      <c r="AR47">
        <f t="shared" si="7"/>
        <v>44614</v>
      </c>
      <c r="AS47">
        <f t="shared" si="8"/>
        <v>0</v>
      </c>
      <c r="AT47">
        <f t="shared" si="9"/>
        <v>0</v>
      </c>
      <c r="AU47">
        <f t="shared" si="10"/>
        <v>0</v>
      </c>
      <c r="AV47">
        <f t="shared" si="11"/>
        <v>0</v>
      </c>
      <c r="AW47">
        <f t="shared" si="12"/>
        <v>1382526</v>
      </c>
      <c r="AX47">
        <f t="shared" si="13"/>
        <v>1619010</v>
      </c>
      <c r="AY47">
        <f t="shared" si="14"/>
        <v>341433</v>
      </c>
      <c r="AZ47">
        <f t="shared" si="15"/>
        <v>962730</v>
      </c>
      <c r="BA47">
        <f t="shared" si="16"/>
        <v>0</v>
      </c>
      <c r="BB47">
        <f t="shared" si="17"/>
        <v>0</v>
      </c>
      <c r="BC47">
        <f t="shared" si="18"/>
        <v>0</v>
      </c>
      <c r="BD47">
        <f t="shared" si="19"/>
        <v>0</v>
      </c>
    </row>
    <row r="48" spans="1:56" ht="12.75" dyDescent="0.2" customHeight="1">
      <c r="A48" s="15">
        <v>15</v>
      </c>
      <c r="B48" s="22">
        <v>0</v>
      </c>
      <c r="C48" s="22">
        <v>19</v>
      </c>
      <c r="D48" s="43">
        <v>0</v>
      </c>
      <c r="E48" s="43">
        <v>0</v>
      </c>
      <c r="F48" s="43">
        <v>0</v>
      </c>
      <c r="G48" s="43">
        <v>0</v>
      </c>
      <c r="H48" s="44">
        <v>0</v>
      </c>
      <c r="I48" s="44">
        <v>0</v>
      </c>
      <c r="J48" s="44">
        <v>38840</v>
      </c>
      <c r="K48" s="44">
        <v>0</v>
      </c>
      <c r="L48" s="43">
        <v>0</v>
      </c>
      <c r="M48" s="43">
        <v>4000000</v>
      </c>
      <c r="N48" s="43">
        <v>842709</v>
      </c>
      <c r="O48" s="43">
        <v>0</v>
      </c>
      <c r="P48" s="44">
        <v>0</v>
      </c>
      <c r="Q48" s="44">
        <v>6000000</v>
      </c>
      <c r="R48" s="44">
        <v>1112627</v>
      </c>
      <c r="S48" s="44">
        <v>14400</v>
      </c>
      <c r="T48" s="43">
        <v>0</v>
      </c>
      <c r="U48" s="43">
        <v>0</v>
      </c>
      <c r="V48" s="43">
        <v>42661</v>
      </c>
      <c r="W48" s="43">
        <v>0</v>
      </c>
      <c r="AK48">
        <f t="shared" si="0"/>
        <v>0</v>
      </c>
      <c r="AL48">
        <f t="shared" si="1"/>
        <v>0</v>
      </c>
      <c r="AM48">
        <f t="shared" si="2"/>
        <v>0</v>
      </c>
      <c r="AN48">
        <f t="shared" si="3"/>
        <v>0</v>
      </c>
      <c r="AO48">
        <f t="shared" si="4"/>
        <v>0</v>
      </c>
      <c r="AP48">
        <f t="shared" si="5"/>
        <v>0</v>
      </c>
      <c r="AQ48">
        <f t="shared" si="6"/>
        <v>38840</v>
      </c>
      <c r="AR48">
        <f t="shared" si="7"/>
        <v>0</v>
      </c>
      <c r="AS48">
        <f t="shared" si="8"/>
        <v>0</v>
      </c>
      <c r="AT48">
        <f t="shared" si="9"/>
        <v>4000000</v>
      </c>
      <c r="AU48">
        <f t="shared" si="10"/>
        <v>842709</v>
      </c>
      <c r="AV48">
        <f t="shared" si="11"/>
        <v>0</v>
      </c>
      <c r="AW48">
        <f t="shared" si="12"/>
        <v>0</v>
      </c>
      <c r="AX48">
        <f t="shared" si="13"/>
        <v>6000000</v>
      </c>
      <c r="AY48">
        <f t="shared" si="14"/>
        <v>1112627</v>
      </c>
      <c r="AZ48">
        <f t="shared" si="15"/>
        <v>14400</v>
      </c>
      <c r="BA48">
        <f t="shared" si="16"/>
        <v>0</v>
      </c>
      <c r="BB48">
        <f t="shared" si="17"/>
        <v>0</v>
      </c>
      <c r="BC48">
        <f t="shared" si="18"/>
        <v>42661</v>
      </c>
      <c r="BD48">
        <f t="shared" si="19"/>
        <v>0</v>
      </c>
    </row>
    <row r="49" spans="1:56" ht="12.75" dyDescent="0.2" customHeight="1">
      <c r="A49" s="14">
        <v>16</v>
      </c>
      <c r="B49" s="22">
        <v>0</v>
      </c>
      <c r="C49" s="22">
        <v>20</v>
      </c>
      <c r="D49" s="43">
        <v>5396</v>
      </c>
      <c r="E49" s="43">
        <v>1505</v>
      </c>
      <c r="F49" s="43">
        <v>1061</v>
      </c>
      <c r="G49" s="43">
        <v>11396</v>
      </c>
      <c r="H49" s="44">
        <v>10644</v>
      </c>
      <c r="I49" s="44">
        <v>47163</v>
      </c>
      <c r="J49" s="44">
        <v>5052</v>
      </c>
      <c r="K49" s="44">
        <v>6644</v>
      </c>
      <c r="L49" s="43">
        <v>22313</v>
      </c>
      <c r="M49" s="43">
        <v>24056</v>
      </c>
      <c r="N49" s="43">
        <v>16967</v>
      </c>
      <c r="O49" s="43">
        <v>22313</v>
      </c>
      <c r="P49" s="44">
        <v>515676</v>
      </c>
      <c r="Q49" s="44">
        <v>3355963</v>
      </c>
      <c r="R49" s="44">
        <v>392129</v>
      </c>
      <c r="S49" s="44">
        <v>515676</v>
      </c>
      <c r="T49" s="43">
        <v>22313</v>
      </c>
      <c r="U49" s="43">
        <v>24056</v>
      </c>
      <c r="V49" s="43">
        <v>16967</v>
      </c>
      <c r="W49" s="43">
        <v>22313</v>
      </c>
      <c r="AK49">
        <f t="shared" si="0"/>
        <v>5396</v>
      </c>
      <c r="AL49">
        <f t="shared" si="1"/>
        <v>1505</v>
      </c>
      <c r="AM49">
        <f t="shared" si="2"/>
        <v>1061</v>
      </c>
      <c r="AN49">
        <f t="shared" si="3"/>
        <v>11396</v>
      </c>
      <c r="AO49">
        <f t="shared" si="4"/>
        <v>10644</v>
      </c>
      <c r="AP49">
        <f t="shared" si="5"/>
        <v>47163</v>
      </c>
      <c r="AQ49">
        <f t="shared" si="6"/>
        <v>5052</v>
      </c>
      <c r="AR49">
        <f t="shared" si="7"/>
        <v>6644</v>
      </c>
      <c r="AS49">
        <f t="shared" si="8"/>
        <v>22313</v>
      </c>
      <c r="AT49">
        <f t="shared" si="9"/>
        <v>24056</v>
      </c>
      <c r="AU49">
        <f t="shared" si="10"/>
        <v>16967</v>
      </c>
      <c r="AV49">
        <f t="shared" si="11"/>
        <v>22313</v>
      </c>
      <c r="AW49">
        <f t="shared" si="12"/>
        <v>515676</v>
      </c>
      <c r="AX49">
        <f t="shared" si="13"/>
        <v>3355963</v>
      </c>
      <c r="AY49">
        <f t="shared" si="14"/>
        <v>392129</v>
      </c>
      <c r="AZ49">
        <f t="shared" si="15"/>
        <v>515676</v>
      </c>
      <c r="BA49">
        <f t="shared" si="16"/>
        <v>22313</v>
      </c>
      <c r="BB49">
        <f t="shared" si="17"/>
        <v>24056</v>
      </c>
      <c r="BC49">
        <f t="shared" si="18"/>
        <v>16967</v>
      </c>
      <c r="BD49">
        <f t="shared" si="19"/>
        <v>22313</v>
      </c>
    </row>
    <row r="50" spans="1:56" ht="12.75" dyDescent="0.2" customHeight="1">
      <c r="A50" s="15">
        <v>17</v>
      </c>
      <c r="B50" s="22">
        <v>21</v>
      </c>
      <c r="C50" s="22">
        <v>22</v>
      </c>
      <c r="D50" s="43">
        <v>2029500</v>
      </c>
      <c r="E50" s="43">
        <v>1994586</v>
      </c>
      <c r="F50" s="43">
        <v>948643</v>
      </c>
      <c r="G50" s="43">
        <v>2542616</v>
      </c>
      <c r="H50" s="44">
        <v>6755997</v>
      </c>
      <c r="I50" s="44">
        <v>5535965</v>
      </c>
      <c r="J50" s="44">
        <v>3778811</v>
      </c>
      <c r="K50" s="44">
        <v>8916693</v>
      </c>
      <c r="L50" s="43">
        <v>10168867</v>
      </c>
      <c r="M50" s="43">
        <v>7167413</v>
      </c>
      <c r="N50" s="43">
        <v>4249467</v>
      </c>
      <c r="O50" s="43">
        <v>14650304</v>
      </c>
      <c r="P50" s="44">
        <v>45992436</v>
      </c>
      <c r="Q50" s="44">
        <v>36026290</v>
      </c>
      <c r="R50" s="44">
        <v>21995621</v>
      </c>
      <c r="S50" s="44">
        <v>62828964</v>
      </c>
      <c r="T50" s="43">
        <v>2704076</v>
      </c>
      <c r="U50" s="43">
        <v>2322777</v>
      </c>
      <c r="V50" s="43">
        <v>1320900</v>
      </c>
      <c r="W50" s="43">
        <v>3600854</v>
      </c>
      <c r="AK50">
        <f t="shared" si="0"/>
        <v>2029500</v>
      </c>
      <c r="AL50">
        <f t="shared" si="1"/>
        <v>1994586</v>
      </c>
      <c r="AM50">
        <f t="shared" si="2"/>
        <v>948643</v>
      </c>
      <c r="AN50">
        <f t="shared" si="3"/>
        <v>2542616</v>
      </c>
      <c r="AO50">
        <f t="shared" si="4"/>
        <v>6755997</v>
      </c>
      <c r="AP50">
        <f t="shared" si="5"/>
        <v>5535965</v>
      </c>
      <c r="AQ50">
        <f t="shared" si="6"/>
        <v>3778811</v>
      </c>
      <c r="AR50">
        <f t="shared" si="7"/>
        <v>8916693</v>
      </c>
      <c r="AS50">
        <f t="shared" si="8"/>
        <v>10168867</v>
      </c>
      <c r="AT50">
        <f t="shared" si="9"/>
        <v>7167413</v>
      </c>
      <c r="AU50">
        <f t="shared" si="10"/>
        <v>4249467</v>
      </c>
      <c r="AV50">
        <f t="shared" si="11"/>
        <v>14650304</v>
      </c>
      <c r="AW50">
        <f t="shared" si="12"/>
        <v>45992436</v>
      </c>
      <c r="AX50">
        <f t="shared" si="13"/>
        <v>36026290</v>
      </c>
      <c r="AY50">
        <f t="shared" si="14"/>
        <v>21995621</v>
      </c>
      <c r="AZ50">
        <f t="shared" si="15"/>
        <v>62828964</v>
      </c>
      <c r="BA50">
        <f t="shared" si="16"/>
        <v>2704076</v>
      </c>
      <c r="BB50">
        <f t="shared" si="17"/>
        <v>2322777</v>
      </c>
      <c r="BC50">
        <f t="shared" si="18"/>
        <v>1320900</v>
      </c>
      <c r="BD50">
        <f t="shared" si="19"/>
        <v>3600854</v>
      </c>
    </row>
    <row r="51" spans="1:56" ht="12.75" dyDescent="0.2" customHeight="1">
      <c r="A51" s="14">
        <v>18</v>
      </c>
      <c r="B51" s="22">
        <v>0</v>
      </c>
      <c r="C51" s="22">
        <v>23</v>
      </c>
      <c r="D51" s="43">
        <v>4576</v>
      </c>
      <c r="E51" s="43">
        <v>5158</v>
      </c>
      <c r="F51" s="43">
        <v>14803</v>
      </c>
      <c r="G51" s="43">
        <v>7630</v>
      </c>
      <c r="H51" s="44">
        <v>92932</v>
      </c>
      <c r="I51" s="44">
        <v>184765</v>
      </c>
      <c r="J51" s="44">
        <v>58930</v>
      </c>
      <c r="K51" s="44">
        <v>154957</v>
      </c>
      <c r="L51" s="43">
        <v>272192</v>
      </c>
      <c r="M51" s="43">
        <v>1206849</v>
      </c>
      <c r="N51" s="43">
        <v>166744</v>
      </c>
      <c r="O51" s="43">
        <v>453860</v>
      </c>
      <c r="P51" s="44">
        <v>1484440</v>
      </c>
      <c r="Q51" s="44">
        <v>13673442</v>
      </c>
      <c r="R51" s="44">
        <v>909362</v>
      </c>
      <c r="S51" s="44">
        <v>4475187</v>
      </c>
      <c r="T51" s="43">
        <v>351444</v>
      </c>
      <c r="U51" s="43">
        <v>2396191</v>
      </c>
      <c r="V51" s="43">
        <v>215294</v>
      </c>
      <c r="W51" s="43">
        <v>586006</v>
      </c>
      <c r="AK51">
        <f t="shared" si="0"/>
        <v>4576</v>
      </c>
      <c r="AL51">
        <f t="shared" si="1"/>
        <v>5158</v>
      </c>
      <c r="AM51">
        <f t="shared" si="2"/>
        <v>14803</v>
      </c>
      <c r="AN51">
        <f t="shared" si="3"/>
        <v>7630</v>
      </c>
      <c r="AO51">
        <f t="shared" si="4"/>
        <v>92932</v>
      </c>
      <c r="AP51">
        <f t="shared" si="5"/>
        <v>184765</v>
      </c>
      <c r="AQ51">
        <f t="shared" si="6"/>
        <v>58930</v>
      </c>
      <c r="AR51">
        <f t="shared" si="7"/>
        <v>154957</v>
      </c>
      <c r="AS51">
        <f t="shared" si="8"/>
        <v>272192</v>
      </c>
      <c r="AT51">
        <f t="shared" si="9"/>
        <v>1206849</v>
      </c>
      <c r="AU51">
        <f t="shared" si="10"/>
        <v>166744</v>
      </c>
      <c r="AV51">
        <f t="shared" si="11"/>
        <v>453860</v>
      </c>
      <c r="AW51">
        <f t="shared" si="12"/>
        <v>1484440</v>
      </c>
      <c r="AX51">
        <f t="shared" si="13"/>
        <v>13673442</v>
      </c>
      <c r="AY51">
        <f t="shared" si="14"/>
        <v>909362</v>
      </c>
      <c r="AZ51">
        <f t="shared" si="15"/>
        <v>4475187</v>
      </c>
      <c r="BA51">
        <f t="shared" si="16"/>
        <v>351444</v>
      </c>
      <c r="BB51">
        <f t="shared" si="17"/>
        <v>2396191</v>
      </c>
      <c r="BC51">
        <f t="shared" si="18"/>
        <v>215294</v>
      </c>
      <c r="BD51">
        <f t="shared" si="19"/>
        <v>586006</v>
      </c>
    </row>
    <row r="52" spans="1:56" ht="12.75" dyDescent="0.2" customHeight="1">
      <c r="A52" s="15">
        <v>19</v>
      </c>
      <c r="B52" s="22">
        <v>0</v>
      </c>
      <c r="C52" s="22">
        <v>24</v>
      </c>
      <c r="D52" s="43">
        <v>9669</v>
      </c>
      <c r="E52" s="43">
        <v>0</v>
      </c>
      <c r="F52" s="43">
        <v>0</v>
      </c>
      <c r="G52" s="43">
        <v>27403</v>
      </c>
      <c r="H52" s="44">
        <v>14266</v>
      </c>
      <c r="I52" s="44">
        <v>0</v>
      </c>
      <c r="J52" s="44">
        <v>0</v>
      </c>
      <c r="K52" s="44">
        <v>58617</v>
      </c>
      <c r="L52" s="43">
        <v>451131</v>
      </c>
      <c r="M52" s="43">
        <v>0</v>
      </c>
      <c r="N52" s="43">
        <v>0</v>
      </c>
      <c r="O52" s="43">
        <v>620973</v>
      </c>
      <c r="P52" s="44">
        <v>1104799</v>
      </c>
      <c r="Q52" s="44">
        <v>0</v>
      </c>
      <c r="R52" s="44">
        <v>0</v>
      </c>
      <c r="S52" s="44">
        <v>1663256</v>
      </c>
      <c r="T52" s="43">
        <v>4458</v>
      </c>
      <c r="U52" s="43">
        <v>0</v>
      </c>
      <c r="V52" s="43">
        <v>0</v>
      </c>
      <c r="W52" s="43">
        <v>18318</v>
      </c>
      <c r="AK52">
        <f t="shared" si="0"/>
        <v>9669</v>
      </c>
      <c r="AL52">
        <f t="shared" si="1"/>
        <v>0</v>
      </c>
      <c r="AM52">
        <f t="shared" si="2"/>
        <v>0</v>
      </c>
      <c r="AN52">
        <f t="shared" si="3"/>
        <v>27403</v>
      </c>
      <c r="AO52">
        <f t="shared" si="4"/>
        <v>14266</v>
      </c>
      <c r="AP52">
        <f t="shared" si="5"/>
        <v>0</v>
      </c>
      <c r="AQ52">
        <f t="shared" si="6"/>
        <v>0</v>
      </c>
      <c r="AR52">
        <f t="shared" si="7"/>
        <v>58617</v>
      </c>
      <c r="AS52">
        <f t="shared" si="8"/>
        <v>451131</v>
      </c>
      <c r="AT52">
        <f t="shared" si="9"/>
        <v>0</v>
      </c>
      <c r="AU52">
        <f t="shared" si="10"/>
        <v>0</v>
      </c>
      <c r="AV52">
        <f t="shared" si="11"/>
        <v>620973</v>
      </c>
      <c r="AW52">
        <f t="shared" si="12"/>
        <v>1104799</v>
      </c>
      <c r="AX52">
        <f t="shared" si="13"/>
        <v>0</v>
      </c>
      <c r="AY52">
        <f t="shared" si="14"/>
        <v>0</v>
      </c>
      <c r="AZ52">
        <f t="shared" si="15"/>
        <v>1663256</v>
      </c>
      <c r="BA52">
        <f t="shared" si="16"/>
        <v>4458</v>
      </c>
      <c r="BB52">
        <f t="shared" si="17"/>
        <v>0</v>
      </c>
      <c r="BC52">
        <f t="shared" si="18"/>
        <v>0</v>
      </c>
      <c r="BD52">
        <f t="shared" si="19"/>
        <v>18318</v>
      </c>
    </row>
    <row r="53" spans="1:56" ht="12.75" dyDescent="0.2" customHeight="1">
      <c r="A53" s="14">
        <v>20</v>
      </c>
      <c r="B53" s="22">
        <v>25</v>
      </c>
      <c r="C53" s="22">
        <v>0</v>
      </c>
      <c r="D53" s="43">
        <v>0</v>
      </c>
      <c r="E53" s="43">
        <v>0</v>
      </c>
      <c r="F53" s="43">
        <v>0</v>
      </c>
      <c r="G53" s="43">
        <v>0</v>
      </c>
      <c r="H53" s="44">
        <v>0</v>
      </c>
      <c r="I53" s="44">
        <v>0</v>
      </c>
      <c r="J53" s="44">
        <v>0</v>
      </c>
      <c r="K53" s="44">
        <v>0</v>
      </c>
      <c r="L53" s="43">
        <v>0</v>
      </c>
      <c r="M53" s="43">
        <v>0</v>
      </c>
      <c r="N53" s="43">
        <v>0</v>
      </c>
      <c r="O53" s="43">
        <v>0</v>
      </c>
      <c r="P53" s="44">
        <v>0</v>
      </c>
      <c r="Q53" s="44">
        <v>0</v>
      </c>
      <c r="R53" s="44">
        <v>0</v>
      </c>
      <c r="S53" s="44">
        <v>0</v>
      </c>
      <c r="T53" s="43">
        <v>0</v>
      </c>
      <c r="U53" s="43">
        <v>0</v>
      </c>
      <c r="V53" s="43">
        <v>0</v>
      </c>
      <c r="W53" s="43">
        <v>0</v>
      </c>
      <c r="AK53">
        <f t="shared" si="0"/>
        <v>0</v>
      </c>
      <c r="AL53">
        <f t="shared" si="1"/>
        <v>0</v>
      </c>
      <c r="AM53">
        <f t="shared" si="2"/>
        <v>0</v>
      </c>
      <c r="AN53">
        <f t="shared" si="3"/>
        <v>0</v>
      </c>
      <c r="AO53">
        <f t="shared" si="4"/>
        <v>0</v>
      </c>
      <c r="AP53">
        <f t="shared" si="5"/>
        <v>0</v>
      </c>
      <c r="AQ53">
        <f t="shared" si="6"/>
        <v>0</v>
      </c>
      <c r="AR53">
        <f t="shared" si="7"/>
        <v>0</v>
      </c>
      <c r="AS53">
        <f t="shared" si="8"/>
        <v>0</v>
      </c>
      <c r="AT53">
        <f t="shared" si="9"/>
        <v>0</v>
      </c>
      <c r="AU53">
        <f t="shared" si="10"/>
        <v>0</v>
      </c>
      <c r="AV53">
        <f t="shared" si="11"/>
        <v>0</v>
      </c>
      <c r="AW53">
        <f t="shared" si="12"/>
        <v>0</v>
      </c>
      <c r="AX53">
        <f t="shared" si="13"/>
        <v>0</v>
      </c>
      <c r="AY53">
        <f t="shared" si="14"/>
        <v>0</v>
      </c>
      <c r="AZ53">
        <f t="shared" si="15"/>
        <v>0</v>
      </c>
      <c r="BA53">
        <f t="shared" si="16"/>
        <v>0</v>
      </c>
      <c r="BB53">
        <f t="shared" si="17"/>
        <v>0</v>
      </c>
      <c r="BC53">
        <f t="shared" si="18"/>
        <v>0</v>
      </c>
      <c r="BD53">
        <f t="shared" si="19"/>
        <v>0</v>
      </c>
    </row>
    <row r="54" spans="1:56" ht="12.75" dyDescent="0.2" customHeight="1">
      <c r="A54" s="15">
        <v>21</v>
      </c>
      <c r="B54" s="22">
        <v>26</v>
      </c>
      <c r="C54" s="22">
        <v>0</v>
      </c>
      <c r="D54" s="43">
        <v>0</v>
      </c>
      <c r="E54" s="43">
        <v>9300</v>
      </c>
      <c r="F54" s="43">
        <v>0</v>
      </c>
      <c r="G54" s="43">
        <v>4000</v>
      </c>
      <c r="H54" s="44">
        <v>80000</v>
      </c>
      <c r="I54" s="44">
        <v>7000</v>
      </c>
      <c r="J54" s="44">
        <v>0</v>
      </c>
      <c r="K54" s="44">
        <v>0</v>
      </c>
      <c r="L54" s="43">
        <v>0</v>
      </c>
      <c r="M54" s="43">
        <v>0</v>
      </c>
      <c r="N54" s="43">
        <v>0</v>
      </c>
      <c r="O54" s="43">
        <v>0</v>
      </c>
      <c r="P54" s="44">
        <v>400000</v>
      </c>
      <c r="Q54" s="44">
        <v>0</v>
      </c>
      <c r="R54" s="44">
        <v>0</v>
      </c>
      <c r="S54" s="44">
        <v>600000</v>
      </c>
      <c r="T54" s="43">
        <v>0</v>
      </c>
      <c r="U54" s="43">
        <v>0</v>
      </c>
      <c r="V54" s="43">
        <v>0</v>
      </c>
      <c r="W54" s="43">
        <v>0</v>
      </c>
      <c r="AK54">
        <f t="shared" si="0"/>
        <v>0</v>
      </c>
      <c r="AL54">
        <f t="shared" si="1"/>
        <v>9300</v>
      </c>
      <c r="AM54">
        <f t="shared" si="2"/>
        <v>0</v>
      </c>
      <c r="AN54">
        <f t="shared" si="3"/>
        <v>4000</v>
      </c>
      <c r="AO54">
        <f t="shared" si="4"/>
        <v>80000</v>
      </c>
      <c r="AP54">
        <f t="shared" si="5"/>
        <v>7000</v>
      </c>
      <c r="AQ54">
        <f t="shared" si="6"/>
        <v>0</v>
      </c>
      <c r="AR54">
        <f t="shared" si="7"/>
        <v>0</v>
      </c>
      <c r="AS54">
        <f t="shared" si="8"/>
        <v>0</v>
      </c>
      <c r="AT54">
        <f t="shared" si="9"/>
        <v>0</v>
      </c>
      <c r="AU54">
        <f t="shared" si="10"/>
        <v>0</v>
      </c>
      <c r="AV54">
        <f t="shared" si="11"/>
        <v>0</v>
      </c>
      <c r="AW54">
        <f t="shared" si="12"/>
        <v>400000</v>
      </c>
      <c r="AX54">
        <f t="shared" si="13"/>
        <v>0</v>
      </c>
      <c r="AY54">
        <f t="shared" si="14"/>
        <v>0</v>
      </c>
      <c r="AZ54">
        <f t="shared" si="15"/>
        <v>600000</v>
      </c>
      <c r="BA54">
        <f t="shared" si="16"/>
        <v>0</v>
      </c>
      <c r="BB54">
        <f t="shared" si="17"/>
        <v>0</v>
      </c>
      <c r="BC54">
        <f t="shared" si="18"/>
        <v>0</v>
      </c>
      <c r="BD54">
        <f t="shared" si="19"/>
        <v>0</v>
      </c>
    </row>
    <row r="55" spans="1:56" ht="12.75" dyDescent="0.2" customHeight="1">
      <c r="A55" s="14">
        <v>22</v>
      </c>
      <c r="B55" s="22">
        <v>0</v>
      </c>
      <c r="C55" s="22">
        <v>27</v>
      </c>
      <c r="D55" s="43">
        <v>27</v>
      </c>
      <c r="E55" s="43">
        <v>1077</v>
      </c>
      <c r="F55" s="43">
        <v>1404</v>
      </c>
      <c r="G55" s="43">
        <v>1248</v>
      </c>
      <c r="H55" s="44">
        <v>600531</v>
      </c>
      <c r="I55" s="44">
        <v>21051</v>
      </c>
      <c r="J55" s="44">
        <v>27464</v>
      </c>
      <c r="K55" s="44">
        <v>124412</v>
      </c>
      <c r="L55" s="43">
        <v>2278</v>
      </c>
      <c r="M55" s="43">
        <v>90377</v>
      </c>
      <c r="N55" s="43">
        <v>617908</v>
      </c>
      <c r="O55" s="43">
        <v>804807</v>
      </c>
      <c r="P55" s="44">
        <v>2008500</v>
      </c>
      <c r="Q55" s="44">
        <v>337180</v>
      </c>
      <c r="R55" s="44">
        <v>3439893</v>
      </c>
      <c r="S55" s="44">
        <v>2397116</v>
      </c>
      <c r="T55" s="43">
        <v>654</v>
      </c>
      <c r="U55" s="43">
        <v>25945</v>
      </c>
      <c r="V55" s="43">
        <v>233849</v>
      </c>
      <c r="W55" s="43">
        <v>230088</v>
      </c>
      <c r="AK55">
        <f t="shared" si="0"/>
        <v>27</v>
      </c>
      <c r="AL55">
        <f t="shared" si="1"/>
        <v>1077</v>
      </c>
      <c r="AM55">
        <f t="shared" si="2"/>
        <v>1404</v>
      </c>
      <c r="AN55">
        <f t="shared" si="3"/>
        <v>1248</v>
      </c>
      <c r="AO55">
        <f t="shared" si="4"/>
        <v>600531</v>
      </c>
      <c r="AP55">
        <f t="shared" si="5"/>
        <v>21051</v>
      </c>
      <c r="AQ55">
        <f t="shared" si="6"/>
        <v>27464</v>
      </c>
      <c r="AR55">
        <f t="shared" si="7"/>
        <v>124412</v>
      </c>
      <c r="AS55">
        <f t="shared" si="8"/>
        <v>2278</v>
      </c>
      <c r="AT55">
        <f t="shared" si="9"/>
        <v>90377</v>
      </c>
      <c r="AU55">
        <f t="shared" si="10"/>
        <v>617908</v>
      </c>
      <c r="AV55">
        <f t="shared" si="11"/>
        <v>804807</v>
      </c>
      <c r="AW55">
        <f t="shared" si="12"/>
        <v>2008500</v>
      </c>
      <c r="AX55">
        <f t="shared" si="13"/>
        <v>337180</v>
      </c>
      <c r="AY55">
        <f t="shared" si="14"/>
        <v>3439893</v>
      </c>
      <c r="AZ55">
        <f t="shared" si="15"/>
        <v>2397116</v>
      </c>
      <c r="BA55">
        <f t="shared" si="16"/>
        <v>654</v>
      </c>
      <c r="BB55">
        <f t="shared" si="17"/>
        <v>25945</v>
      </c>
      <c r="BC55">
        <f t="shared" si="18"/>
        <v>233849</v>
      </c>
      <c r="BD55">
        <f t="shared" si="19"/>
        <v>230088</v>
      </c>
    </row>
    <row r="56" spans="1:56" ht="12.75" dyDescent="0.2" customHeight="1">
      <c r="A56" s="15">
        <v>23</v>
      </c>
      <c r="B56" s="22">
        <v>28</v>
      </c>
      <c r="C56" s="22">
        <v>29</v>
      </c>
      <c r="D56" s="43">
        <v>451</v>
      </c>
      <c r="E56" s="43">
        <v>458</v>
      </c>
      <c r="F56" s="43">
        <v>3115</v>
      </c>
      <c r="G56" s="43">
        <v>707</v>
      </c>
      <c r="H56" s="44">
        <v>79602</v>
      </c>
      <c r="I56" s="44">
        <v>140760</v>
      </c>
      <c r="J56" s="44">
        <v>24300</v>
      </c>
      <c r="K56" s="44">
        <v>124781</v>
      </c>
      <c r="L56" s="43">
        <v>348938</v>
      </c>
      <c r="M56" s="43">
        <v>354016</v>
      </c>
      <c r="N56" s="43">
        <v>88988</v>
      </c>
      <c r="O56" s="43">
        <v>546984</v>
      </c>
      <c r="P56" s="44">
        <v>1812030</v>
      </c>
      <c r="Q56" s="44">
        <v>2538401</v>
      </c>
      <c r="R56" s="44">
        <v>462112</v>
      </c>
      <c r="S56" s="44">
        <v>2840480</v>
      </c>
      <c r="T56" s="43">
        <v>644392</v>
      </c>
      <c r="U56" s="43">
        <v>653770</v>
      </c>
      <c r="V56" s="43">
        <v>164336</v>
      </c>
      <c r="W56" s="43">
        <v>1010128</v>
      </c>
      <c r="AK56">
        <f t="shared" si="0"/>
        <v>451</v>
      </c>
      <c r="AL56">
        <f t="shared" si="1"/>
        <v>458</v>
      </c>
      <c r="AM56">
        <f t="shared" si="2"/>
        <v>3115</v>
      </c>
      <c r="AN56">
        <f t="shared" si="3"/>
        <v>707</v>
      </c>
      <c r="AO56">
        <f t="shared" si="4"/>
        <v>79602</v>
      </c>
      <c r="AP56">
        <f t="shared" si="5"/>
        <v>140760</v>
      </c>
      <c r="AQ56">
        <f t="shared" si="6"/>
        <v>24300</v>
      </c>
      <c r="AR56">
        <f t="shared" si="7"/>
        <v>124781</v>
      </c>
      <c r="AS56">
        <f t="shared" si="8"/>
        <v>348938</v>
      </c>
      <c r="AT56">
        <f t="shared" si="9"/>
        <v>354016</v>
      </c>
      <c r="AU56">
        <f t="shared" si="10"/>
        <v>88988</v>
      </c>
      <c r="AV56">
        <f t="shared" si="11"/>
        <v>546984</v>
      </c>
      <c r="AW56">
        <f t="shared" si="12"/>
        <v>1812030</v>
      </c>
      <c r="AX56">
        <f t="shared" si="13"/>
        <v>2538401</v>
      </c>
      <c r="AY56">
        <f t="shared" si="14"/>
        <v>462112</v>
      </c>
      <c r="AZ56">
        <f t="shared" si="15"/>
        <v>2840480</v>
      </c>
      <c r="BA56">
        <f t="shared" si="16"/>
        <v>644392</v>
      </c>
      <c r="BB56">
        <f t="shared" si="17"/>
        <v>653770</v>
      </c>
      <c r="BC56">
        <f t="shared" si="18"/>
        <v>164336</v>
      </c>
      <c r="BD56">
        <f t="shared" si="19"/>
        <v>1010128</v>
      </c>
    </row>
    <row r="57" spans="1:56" ht="12.75" dyDescent="0.2" customHeight="1">
      <c r="A57" s="14">
        <v>24</v>
      </c>
      <c r="B57" s="22">
        <v>30</v>
      </c>
      <c r="C57" s="22">
        <v>0</v>
      </c>
      <c r="D57" s="43">
        <v>10804</v>
      </c>
      <c r="E57" s="43">
        <v>0</v>
      </c>
      <c r="F57" s="43">
        <v>0</v>
      </c>
      <c r="G57" s="43">
        <v>1409</v>
      </c>
      <c r="H57" s="44">
        <v>153880</v>
      </c>
      <c r="I57" s="44">
        <v>400000</v>
      </c>
      <c r="J57" s="44">
        <v>0</v>
      </c>
      <c r="K57" s="44">
        <v>94436</v>
      </c>
      <c r="L57" s="43">
        <v>387957</v>
      </c>
      <c r="M57" s="43">
        <v>0</v>
      </c>
      <c r="N57" s="43">
        <v>0</v>
      </c>
      <c r="O57" s="43">
        <v>154164</v>
      </c>
      <c r="P57" s="44">
        <v>1715679</v>
      </c>
      <c r="Q57" s="44">
        <v>1200000</v>
      </c>
      <c r="R57" s="44">
        <v>0</v>
      </c>
      <c r="S57" s="44">
        <v>903840</v>
      </c>
      <c r="T57" s="43">
        <v>75392</v>
      </c>
      <c r="U57" s="43">
        <v>0</v>
      </c>
      <c r="V57" s="43">
        <v>0</v>
      </c>
      <c r="W57" s="43">
        <v>132140</v>
      </c>
      <c r="AK57">
        <f t="shared" si="0"/>
        <v>10804</v>
      </c>
      <c r="AL57">
        <f t="shared" si="1"/>
        <v>0</v>
      </c>
      <c r="AM57">
        <f t="shared" si="2"/>
        <v>0</v>
      </c>
      <c r="AN57">
        <f t="shared" si="3"/>
        <v>1409</v>
      </c>
      <c r="AO57">
        <f t="shared" si="4"/>
        <v>153880</v>
      </c>
      <c r="AP57">
        <f t="shared" si="5"/>
        <v>400000</v>
      </c>
      <c r="AQ57">
        <f t="shared" si="6"/>
        <v>0</v>
      </c>
      <c r="AR57">
        <f t="shared" si="7"/>
        <v>94436</v>
      </c>
      <c r="AS57">
        <f t="shared" si="8"/>
        <v>387957</v>
      </c>
      <c r="AT57">
        <f t="shared" si="9"/>
        <v>0</v>
      </c>
      <c r="AU57">
        <f t="shared" si="10"/>
        <v>0</v>
      </c>
      <c r="AV57">
        <f t="shared" si="11"/>
        <v>154164</v>
      </c>
      <c r="AW57">
        <f t="shared" si="12"/>
        <v>1715679</v>
      </c>
      <c r="AX57">
        <f t="shared" si="13"/>
        <v>1200000</v>
      </c>
      <c r="AY57">
        <f t="shared" si="14"/>
        <v>0</v>
      </c>
      <c r="AZ57">
        <f t="shared" si="15"/>
        <v>903840</v>
      </c>
      <c r="BA57">
        <f t="shared" si="16"/>
        <v>75392</v>
      </c>
      <c r="BB57">
        <f t="shared" si="17"/>
        <v>0</v>
      </c>
      <c r="BC57">
        <f t="shared" si="18"/>
        <v>0</v>
      </c>
      <c r="BD57">
        <f t="shared" si="19"/>
        <v>132140</v>
      </c>
    </row>
    <row r="58" spans="1:56" ht="12.75" dyDescent="0.2" customHeight="1">
      <c r="A58" s="29"/>
      <c r="B58" s="54"/>
      <c r="C58" s="54"/>
      <c r="D58" s="54"/>
      <c r="E58" s="29"/>
      <c r="F58" s="29"/>
    </row>
    <row r="59" spans="1:56" ht="12.75" dyDescent="0.2" customHeight="1">
      <c r="A59" s="30"/>
      <c r="B59" s="31"/>
      <c r="C59" s="31"/>
      <c r="D59" s="31"/>
      <c r="E59" s="31"/>
      <c r="F59" s="31"/>
      <c r="G59" s="9"/>
    </row>
    <row r="60" spans="1:56" ht="12.75" dyDescent="0.2" customHeight="1">
      <c r="A60" s="32">
        <v>1</v>
      </c>
      <c r="B60" s="47">
        <v>475840</v>
      </c>
      <c r="C60" s="47">
        <v>385760</v>
      </c>
      <c r="D60" s="47">
        <v>257700</v>
      </c>
      <c r="E60" s="47">
        <v>834700</v>
      </c>
      <c r="F60" s="47">
        <v>188000</v>
      </c>
      <c r="G60" s="9">
        <v>1</v>
      </c>
    </row>
    <row r="61" spans="1:56" ht="12.75" dyDescent="0.2" customHeight="1">
      <c r="A61" s="32">
        <v>2</v>
      </c>
      <c r="B61" s="47">
        <v>535000</v>
      </c>
      <c r="C61" s="47">
        <v>869500</v>
      </c>
      <c r="D61" s="47">
        <v>3061450</v>
      </c>
      <c r="E61" s="47">
        <v>12278100</v>
      </c>
      <c r="F61" s="47">
        <v>1701400</v>
      </c>
      <c r="G61" s="9">
        <v>2</v>
      </c>
    </row>
    <row r="62" spans="1:56" ht="12.75" dyDescent="0.2" customHeight="1">
      <c r="A62" s="32">
        <v>3</v>
      </c>
      <c r="B62" s="47">
        <v>97090</v>
      </c>
      <c r="C62" s="47">
        <v>1589060</v>
      </c>
      <c r="D62" s="47">
        <v>525600</v>
      </c>
      <c r="E62" s="47">
        <v>3764600</v>
      </c>
      <c r="F62" s="47">
        <v>454000</v>
      </c>
      <c r="G62" s="9">
        <v>3</v>
      </c>
    </row>
    <row r="63" spans="1:56" ht="12.75" dyDescent="0.2" customHeight="1">
      <c r="A63" s="32">
        <v>4</v>
      </c>
      <c r="B63" s="47">
        <v>647360</v>
      </c>
      <c r="C63" s="47">
        <v>1718580</v>
      </c>
      <c r="D63" s="47">
        <v>3377750</v>
      </c>
      <c r="E63" s="47">
        <v>9268100</v>
      </c>
      <c r="F63" s="47">
        <v>377200</v>
      </c>
      <c r="G63" s="9">
        <v>4</v>
      </c>
    </row>
    <row r="64" spans="1:56" ht="12.75" dyDescent="0.2" customHeight="1">
      <c r="A64" s="32">
        <v>5</v>
      </c>
      <c r="B64" s="47">
        <v>1141780</v>
      </c>
      <c r="C64" s="47">
        <v>2571380</v>
      </c>
      <c r="D64" s="47">
        <v>5183000</v>
      </c>
      <c r="E64" s="47">
        <v>13134400</v>
      </c>
      <c r="F64" s="47">
        <v>1621400</v>
      </c>
      <c r="G64" s="9">
        <v>5</v>
      </c>
      <c r="H64" s="33"/>
      <c r="I64" s="33"/>
    </row>
    <row r="65" spans="1:56" ht="12.75" dyDescent="0.2" customHeight="1">
      <c r="A65" s="32">
        <v>6</v>
      </c>
      <c r="B65" s="47">
        <v>397000</v>
      </c>
      <c r="C65" s="47">
        <v>96000</v>
      </c>
      <c r="D65" s="47">
        <v>2500000</v>
      </c>
      <c r="E65" s="47">
        <v>0</v>
      </c>
      <c r="F65" s="47">
        <v>0</v>
      </c>
      <c r="G65" s="9">
        <v>5</v>
      </c>
    </row>
    <row r="66" spans="1:56" ht="12.75" dyDescent="0.2" customHeight="1">
      <c r="A66" s="32">
        <v>7</v>
      </c>
      <c r="B66" s="47">
        <v>285450</v>
      </c>
      <c r="C66" s="47">
        <v>2123820</v>
      </c>
      <c r="D66" s="47">
        <v>5427450</v>
      </c>
      <c r="E66" s="47">
        <v>14862400</v>
      </c>
      <c r="F66" s="47">
        <v>1075400</v>
      </c>
      <c r="G66" s="9">
        <v>6</v>
      </c>
    </row>
    <row r="67" spans="1:56" ht="12.75" dyDescent="0.2" customHeight="1">
      <c r="A67" s="32">
        <v>8</v>
      </c>
      <c r="B67" s="47">
        <v>42000</v>
      </c>
      <c r="C67" s="47">
        <v>32000</v>
      </c>
      <c r="D67" s="47">
        <v>175000</v>
      </c>
      <c r="E67" s="47">
        <v>20000</v>
      </c>
      <c r="F67" s="47">
        <v>100000</v>
      </c>
      <c r="G67" s="9">
        <v>6</v>
      </c>
    </row>
    <row r="68" spans="1:56" ht="12.75" dyDescent="0.2" customHeight="1">
      <c r="A68" s="32">
        <v>9</v>
      </c>
      <c r="B68" s="47">
        <v>513820</v>
      </c>
      <c r="C68" s="47">
        <v>702600</v>
      </c>
      <c r="D68" s="47">
        <v>11023950</v>
      </c>
      <c r="E68" s="47">
        <v>13366200</v>
      </c>
      <c r="F68" s="47">
        <v>2869000</v>
      </c>
      <c r="G68" s="9">
        <v>7</v>
      </c>
    </row>
    <row r="69" spans="1:56" ht="12.75" dyDescent="0.2" customHeight="1">
      <c r="A69" s="32">
        <v>10</v>
      </c>
      <c r="B69" s="47">
        <v>1586180</v>
      </c>
      <c r="C69" s="47">
        <v>1498760</v>
      </c>
      <c r="D69" s="47">
        <v>1782900</v>
      </c>
      <c r="E69" s="47">
        <v>8518800</v>
      </c>
      <c r="F69" s="47">
        <v>1678000</v>
      </c>
      <c r="G69" s="9">
        <v>8</v>
      </c>
    </row>
    <row r="70" spans="1:56" ht="12.75" dyDescent="0.2" customHeight="1">
      <c r="A70" s="32">
        <v>11</v>
      </c>
      <c r="B70" s="47">
        <v>0</v>
      </c>
      <c r="C70" s="47">
        <v>3954000</v>
      </c>
      <c r="D70" s="47">
        <v>6950000</v>
      </c>
      <c r="E70" s="47">
        <v>3900000</v>
      </c>
      <c r="F70" s="47">
        <v>0</v>
      </c>
      <c r="G70" s="9">
        <v>8</v>
      </c>
    </row>
    <row r="71" spans="1:56" ht="12.75" dyDescent="0.2" customHeight="1">
      <c r="A71" s="32">
        <v>12</v>
      </c>
      <c r="B71" s="47">
        <v>354050</v>
      </c>
      <c r="C71" s="47">
        <v>2098320</v>
      </c>
      <c r="D71" s="47">
        <v>5022100</v>
      </c>
      <c r="E71" s="47">
        <v>11408200</v>
      </c>
      <c r="F71" s="47">
        <v>782600</v>
      </c>
      <c r="G71" s="9">
        <v>9</v>
      </c>
    </row>
    <row r="72" spans="1:56" ht="12.75" dyDescent="0.2" customHeight="1">
      <c r="A72" s="32">
        <v>13</v>
      </c>
      <c r="B72" s="47">
        <v>66240</v>
      </c>
      <c r="C72" s="47">
        <v>52140</v>
      </c>
      <c r="D72" s="47">
        <v>8600</v>
      </c>
      <c r="E72" s="47">
        <v>83200</v>
      </c>
      <c r="F72" s="47">
        <v>575400</v>
      </c>
      <c r="G72" s="9">
        <v>9</v>
      </c>
    </row>
    <row r="73" spans="1:56" ht="12.75" dyDescent="0.2" customHeight="1">
      <c r="A73" s="32">
        <v>14</v>
      </c>
      <c r="B73" s="47">
        <v>722170</v>
      </c>
      <c r="C73" s="47">
        <v>1439800</v>
      </c>
      <c r="D73" s="47">
        <v>3070550</v>
      </c>
      <c r="E73" s="47">
        <v>12329800</v>
      </c>
      <c r="F73" s="47">
        <v>735800</v>
      </c>
      <c r="G73" s="9">
        <v>10</v>
      </c>
    </row>
    <row r="74" spans="1:56" ht="12.75" dyDescent="0.2" customHeight="1">
      <c r="A74" s="32">
        <v>15</v>
      </c>
      <c r="B74" s="47">
        <v>539780</v>
      </c>
      <c r="C74" s="47">
        <v>1751140</v>
      </c>
      <c r="D74" s="47">
        <v>2295900</v>
      </c>
      <c r="E74" s="47">
        <v>4078300</v>
      </c>
      <c r="F74" s="47">
        <v>1269800</v>
      </c>
      <c r="G74" s="9">
        <v>11</v>
      </c>
    </row>
    <row r="75" spans="1:56" ht="12.75" dyDescent="0.2" customHeight="1">
      <c r="A75" s="32">
        <v>16</v>
      </c>
      <c r="B75" s="47">
        <v>73910</v>
      </c>
      <c r="C75" s="47">
        <v>725960</v>
      </c>
      <c r="D75" s="47">
        <v>170350</v>
      </c>
      <c r="E75" s="47">
        <v>2294600</v>
      </c>
      <c r="F75" s="47">
        <v>1213000</v>
      </c>
      <c r="G75" s="9">
        <v>12</v>
      </c>
    </row>
    <row r="76" spans="1:56" ht="12.75" dyDescent="0.2" customHeight="1">
      <c r="A76" s="32">
        <v>17</v>
      </c>
      <c r="B76" s="47">
        <v>239200</v>
      </c>
      <c r="C76" s="47">
        <v>1143600</v>
      </c>
      <c r="D76" s="47">
        <v>1506800</v>
      </c>
      <c r="E76" s="47">
        <v>3036900</v>
      </c>
      <c r="F76" s="47">
        <v>272200</v>
      </c>
      <c r="G76" s="9">
        <v>13</v>
      </c>
    </row>
    <row r="77" spans="1:56" ht="12.75" dyDescent="0.2" customHeight="1">
      <c r="A77" s="32">
        <v>18</v>
      </c>
      <c r="B77" s="47">
        <v>400200</v>
      </c>
      <c r="C77" s="47">
        <v>1379500</v>
      </c>
      <c r="D77" s="47">
        <v>2535500</v>
      </c>
      <c r="E77" s="47">
        <v>4591800</v>
      </c>
      <c r="F77" s="47">
        <v>482200</v>
      </c>
      <c r="G77" s="9">
        <v>14</v>
      </c>
    </row>
    <row r="78" spans="1:56" ht="12.75" dyDescent="0.2" customHeight="1">
      <c r="A78" s="32">
        <v>19</v>
      </c>
      <c r="B78" s="47">
        <v>54610</v>
      </c>
      <c r="C78" s="47">
        <v>1249400</v>
      </c>
      <c r="D78" s="47">
        <v>8275200</v>
      </c>
      <c r="E78" s="47">
        <v>6407500</v>
      </c>
      <c r="F78" s="47">
        <v>32200</v>
      </c>
      <c r="G78" s="9">
        <v>15</v>
      </c>
    </row>
    <row r="79" spans="1:56" ht="12.75" dyDescent="0.2" customHeight="1">
      <c r="A79" s="32">
        <v>20</v>
      </c>
      <c r="B79" s="47">
        <v>754290</v>
      </c>
      <c r="C79" s="47">
        <v>1600160</v>
      </c>
      <c r="D79" s="47">
        <v>1312250</v>
      </c>
      <c r="E79" s="47">
        <v>4103100</v>
      </c>
      <c r="F79" s="47">
        <v>1706800</v>
      </c>
      <c r="G79" s="9">
        <v>16</v>
      </c>
    </row>
    <row r="80" spans="1:56" ht="12.75" dyDescent="0.2" customHeight="1">
      <c r="A80" s="32">
        <v>21</v>
      </c>
      <c r="B80" s="47">
        <v>4173210</v>
      </c>
      <c r="C80" s="47">
        <v>16285040</v>
      </c>
      <c r="D80" s="47">
        <v>25359200</v>
      </c>
      <c r="E80" s="47">
        <v>61831300</v>
      </c>
      <c r="F80" s="47">
        <v>7135400</v>
      </c>
      <c r="G80" s="9">
        <v>17</v>
      </c>
    </row>
    <row r="81" spans="1:56" ht="12.75" dyDescent="0.2" customHeight="1">
      <c r="A81" s="32">
        <v>22</v>
      </c>
      <c r="B81" s="47">
        <v>430650</v>
      </c>
      <c r="C81" s="47">
        <v>4017360</v>
      </c>
      <c r="D81" s="47">
        <v>7787800</v>
      </c>
      <c r="E81" s="47">
        <v>18955300</v>
      </c>
      <c r="F81" s="47">
        <v>2789800</v>
      </c>
      <c r="G81" s="9">
        <v>17</v>
      </c>
    </row>
    <row r="82" spans="1:56" ht="12.75" dyDescent="0.2" customHeight="1">
      <c r="A82" s="32">
        <v>23</v>
      </c>
      <c r="B82" s="47">
        <v>397910</v>
      </c>
      <c r="C82" s="47">
        <v>1918200</v>
      </c>
      <c r="D82" s="47">
        <v>4030350</v>
      </c>
      <c r="E82" s="47">
        <v>22485100</v>
      </c>
      <c r="F82" s="47">
        <v>5482600</v>
      </c>
      <c r="G82" s="9">
        <v>18</v>
      </c>
    </row>
    <row r="83" spans="1:56" ht="12.75" dyDescent="0.2" customHeight="1">
      <c r="A83" s="32">
        <v>24</v>
      </c>
      <c r="B83" s="47">
        <v>225000</v>
      </c>
      <c r="C83" s="47">
        <v>1186260</v>
      </c>
      <c r="D83" s="47">
        <v>3912000</v>
      </c>
      <c r="E83" s="47">
        <v>8566100</v>
      </c>
      <c r="F83" s="47">
        <v>1935800</v>
      </c>
      <c r="G83" s="9">
        <v>19</v>
      </c>
    </row>
    <row r="84" spans="1:56" ht="12.75" dyDescent="0.2" customHeight="1">
      <c r="A84" s="32">
        <v>25</v>
      </c>
      <c r="B84" s="47">
        <v>99340</v>
      </c>
      <c r="C84" s="47">
        <v>373500</v>
      </c>
      <c r="D84" s="47">
        <v>3488400</v>
      </c>
      <c r="E84" s="47">
        <v>25463400</v>
      </c>
      <c r="F84" s="47">
        <v>7896400</v>
      </c>
      <c r="G84" s="9">
        <v>20</v>
      </c>
    </row>
    <row r="85" spans="1:56" ht="12.75" dyDescent="0.2" customHeight="1">
      <c r="A85" s="32">
        <v>26</v>
      </c>
      <c r="B85" s="47">
        <v>457390</v>
      </c>
      <c r="C85" s="47">
        <v>1256580</v>
      </c>
      <c r="D85" s="47">
        <v>3077850</v>
      </c>
      <c r="E85" s="47">
        <v>5025200</v>
      </c>
      <c r="F85" s="47">
        <v>122600</v>
      </c>
      <c r="G85" s="9">
        <v>21</v>
      </c>
    </row>
    <row r="86" spans="1:56" ht="12.75" dyDescent="0.2" customHeight="1">
      <c r="A86" s="32">
        <v>27</v>
      </c>
      <c r="B86" s="47">
        <v>536270</v>
      </c>
      <c r="C86" s="47">
        <v>1525720</v>
      </c>
      <c r="D86" s="47">
        <v>2708500</v>
      </c>
      <c r="E86" s="47">
        <v>7853600</v>
      </c>
      <c r="F86" s="47">
        <v>359600</v>
      </c>
      <c r="G86" s="9">
        <v>22</v>
      </c>
    </row>
    <row r="87" spans="1:56" ht="12.75" dyDescent="0.2" customHeight="1">
      <c r="A87" s="32">
        <v>28</v>
      </c>
      <c r="B87" s="47">
        <v>537830</v>
      </c>
      <c r="C87" s="47">
        <v>1742940</v>
      </c>
      <c r="D87" s="47">
        <v>4933800</v>
      </c>
      <c r="E87" s="47">
        <v>8620700</v>
      </c>
      <c r="F87" s="47">
        <v>2846800</v>
      </c>
      <c r="G87" s="9">
        <v>23</v>
      </c>
    </row>
    <row r="88" spans="1:56" ht="12.75" dyDescent="0.2" customHeight="1">
      <c r="A88" s="32">
        <v>29</v>
      </c>
      <c r="B88" s="47">
        <v>160000</v>
      </c>
      <c r="C88" s="47">
        <v>80000</v>
      </c>
      <c r="D88" s="47">
        <v>5500000</v>
      </c>
      <c r="E88" s="47">
        <v>2200000</v>
      </c>
      <c r="F88" s="47">
        <v>0</v>
      </c>
      <c r="G88" s="9">
        <v>23</v>
      </c>
    </row>
    <row r="89" spans="1:56" ht="12.75" dyDescent="0.2" customHeight="1">
      <c r="A89" s="32">
        <v>30</v>
      </c>
      <c r="B89" s="47">
        <v>24760</v>
      </c>
      <c r="C89" s="47">
        <v>1317380</v>
      </c>
      <c r="D89" s="47">
        <v>408300</v>
      </c>
      <c r="E89" s="47">
        <v>2594200</v>
      </c>
      <c r="F89" s="47">
        <v>139000</v>
      </c>
      <c r="G89" s="9">
        <v>24</v>
      </c>
    </row>
    <row r="91" spans="1:56" ht="12.75" dyDescent="0.2" customHeight="1">
      <c r="A91" s="48">
        <v>100</v>
      </c>
      <c r="B91">
        <v>150</v>
      </c>
      <c r="C91">
        <v>150</v>
      </c>
      <c r="D91">
        <v>450</v>
      </c>
      <c r="E91">
        <v>450</v>
      </c>
      <c r="F91">
        <v>450</v>
      </c>
      <c r="G91">
        <v>400</v>
      </c>
      <c r="H91">
        <v>400</v>
      </c>
      <c r="I91">
        <v>150</v>
      </c>
      <c r="J91">
        <v>150</v>
      </c>
      <c r="K91">
        <v>150</v>
      </c>
      <c r="L91">
        <v>450</v>
      </c>
      <c r="M91">
        <v>450</v>
      </c>
      <c r="N91">
        <v>150</v>
      </c>
      <c r="O91">
        <v>300</v>
      </c>
      <c r="P91">
        <v>400</v>
      </c>
      <c r="Q91">
        <v>450</v>
      </c>
      <c r="R91">
        <v>450</v>
      </c>
      <c r="S91">
        <v>450</v>
      </c>
      <c r="T91">
        <v>150</v>
      </c>
      <c r="U91">
        <v>150</v>
      </c>
      <c r="V91">
        <v>150</v>
      </c>
      <c r="W91">
        <v>450</v>
      </c>
      <c r="X91">
        <v>300</v>
      </c>
      <c r="Y91">
        <v>150</v>
      </c>
      <c r="Z91">
        <v>150</v>
      </c>
      <c r="AA91">
        <v>150</v>
      </c>
      <c r="AB91">
        <v>400</v>
      </c>
      <c r="AC91">
        <v>400</v>
      </c>
      <c r="AD91">
        <v>450</v>
      </c>
    </row>
    <row r="92" spans="1:56" ht="12.75" dyDescent="0.2" customHeight="1">
      <c r="A92">
        <v>150</v>
      </c>
      <c r="B92" s="48">
        <v>100</v>
      </c>
      <c r="C92">
        <v>150</v>
      </c>
      <c r="D92">
        <v>450</v>
      </c>
      <c r="E92">
        <v>450</v>
      </c>
      <c r="F92">
        <v>450</v>
      </c>
      <c r="G92">
        <v>400</v>
      </c>
      <c r="H92">
        <v>400</v>
      </c>
      <c r="I92">
        <v>150</v>
      </c>
      <c r="J92">
        <v>150</v>
      </c>
      <c r="K92">
        <v>150</v>
      </c>
      <c r="L92">
        <v>450</v>
      </c>
      <c r="M92">
        <v>450</v>
      </c>
      <c r="N92">
        <v>150</v>
      </c>
      <c r="O92">
        <v>300</v>
      </c>
      <c r="P92">
        <v>400</v>
      </c>
      <c r="Q92">
        <v>450</v>
      </c>
      <c r="R92">
        <v>450</v>
      </c>
      <c r="S92">
        <v>450</v>
      </c>
      <c r="T92">
        <v>150</v>
      </c>
      <c r="U92">
        <v>300</v>
      </c>
      <c r="V92">
        <v>300</v>
      </c>
      <c r="W92">
        <v>450</v>
      </c>
      <c r="X92">
        <v>300</v>
      </c>
      <c r="Y92">
        <v>150</v>
      </c>
      <c r="Z92">
        <v>150</v>
      </c>
      <c r="AA92">
        <v>150</v>
      </c>
      <c r="AB92">
        <v>400</v>
      </c>
      <c r="AC92">
        <v>400</v>
      </c>
      <c r="AD92">
        <v>450</v>
      </c>
    </row>
    <row r="93" spans="1:56" ht="12.75" dyDescent="0.2" customHeight="1">
      <c r="A93">
        <v>150</v>
      </c>
      <c r="B93">
        <v>150</v>
      </c>
      <c r="C93" s="48">
        <v>100</v>
      </c>
      <c r="D93">
        <v>450</v>
      </c>
      <c r="E93">
        <v>450</v>
      </c>
      <c r="F93">
        <v>450</v>
      </c>
      <c r="G93">
        <v>400</v>
      </c>
      <c r="H93">
        <v>400</v>
      </c>
      <c r="I93">
        <v>150</v>
      </c>
      <c r="J93">
        <v>150</v>
      </c>
      <c r="K93">
        <v>150</v>
      </c>
      <c r="L93">
        <v>450</v>
      </c>
      <c r="M93">
        <v>450</v>
      </c>
      <c r="N93">
        <v>150</v>
      </c>
      <c r="O93">
        <v>300</v>
      </c>
      <c r="P93">
        <v>400</v>
      </c>
      <c r="Q93">
        <v>450</v>
      </c>
      <c r="R93">
        <v>450</v>
      </c>
      <c r="S93">
        <v>450</v>
      </c>
      <c r="T93">
        <v>150</v>
      </c>
      <c r="U93">
        <v>150</v>
      </c>
      <c r="V93">
        <v>150</v>
      </c>
      <c r="W93">
        <v>450</v>
      </c>
      <c r="X93">
        <v>300</v>
      </c>
      <c r="Y93">
        <v>150</v>
      </c>
      <c r="Z93">
        <v>150</v>
      </c>
      <c r="AA93">
        <v>150</v>
      </c>
      <c r="AB93">
        <v>400</v>
      </c>
      <c r="AC93">
        <v>400</v>
      </c>
      <c r="AD93">
        <v>450</v>
      </c>
    </row>
    <row r="94" spans="1:56" ht="12.75" dyDescent="0.2" customHeight="1">
      <c r="A94">
        <v>450</v>
      </c>
      <c r="B94">
        <v>450</v>
      </c>
      <c r="C94">
        <v>450</v>
      </c>
      <c r="D94" s="48">
        <v>100</v>
      </c>
      <c r="E94">
        <v>150</v>
      </c>
      <c r="F94">
        <v>150</v>
      </c>
      <c r="G94">
        <v>150</v>
      </c>
      <c r="H94">
        <v>150</v>
      </c>
      <c r="I94">
        <v>300</v>
      </c>
      <c r="J94">
        <v>400</v>
      </c>
      <c r="K94">
        <v>400</v>
      </c>
      <c r="L94">
        <v>150</v>
      </c>
      <c r="M94">
        <v>150</v>
      </c>
      <c r="N94">
        <v>300</v>
      </c>
      <c r="O94">
        <v>150</v>
      </c>
      <c r="P94">
        <v>150</v>
      </c>
      <c r="Q94">
        <v>150</v>
      </c>
      <c r="R94">
        <v>150</v>
      </c>
      <c r="S94">
        <v>100</v>
      </c>
      <c r="T94">
        <v>450</v>
      </c>
      <c r="U94">
        <v>300</v>
      </c>
      <c r="V94">
        <v>300</v>
      </c>
      <c r="W94">
        <v>150</v>
      </c>
      <c r="X94">
        <v>300</v>
      </c>
      <c r="Y94">
        <v>400</v>
      </c>
      <c r="Z94">
        <v>450</v>
      </c>
      <c r="AA94">
        <v>150</v>
      </c>
      <c r="AB94">
        <v>150</v>
      </c>
      <c r="AC94">
        <v>150</v>
      </c>
      <c r="AD94">
        <v>150</v>
      </c>
    </row>
    <row r="95" spans="1:56" ht="12.75" dyDescent="0.2" customHeight="1">
      <c r="A95">
        <v>450</v>
      </c>
      <c r="B95">
        <v>450</v>
      </c>
      <c r="C95">
        <v>450</v>
      </c>
      <c r="D95">
        <v>150</v>
      </c>
      <c r="E95" s="48">
        <v>100</v>
      </c>
      <c r="F95">
        <v>100</v>
      </c>
      <c r="G95">
        <v>300</v>
      </c>
      <c r="H95">
        <v>300</v>
      </c>
      <c r="I95">
        <v>150</v>
      </c>
      <c r="J95">
        <v>400</v>
      </c>
      <c r="K95">
        <v>400</v>
      </c>
      <c r="L95">
        <v>150</v>
      </c>
      <c r="M95">
        <v>150</v>
      </c>
      <c r="N95">
        <v>400</v>
      </c>
      <c r="O95">
        <v>300</v>
      </c>
      <c r="P95">
        <v>300</v>
      </c>
      <c r="Q95">
        <v>150</v>
      </c>
      <c r="R95">
        <v>150</v>
      </c>
      <c r="S95">
        <v>150</v>
      </c>
      <c r="T95">
        <v>450</v>
      </c>
      <c r="U95">
        <v>300</v>
      </c>
      <c r="V95">
        <v>300</v>
      </c>
      <c r="W95">
        <v>150</v>
      </c>
      <c r="X95">
        <v>400</v>
      </c>
      <c r="Y95">
        <v>400</v>
      </c>
      <c r="Z95">
        <v>450</v>
      </c>
      <c r="AA95">
        <v>150</v>
      </c>
      <c r="AB95">
        <v>150</v>
      </c>
      <c r="AC95">
        <v>150</v>
      </c>
      <c r="AD95">
        <v>150</v>
      </c>
    </row>
    <row r="96" spans="1:56" ht="12.75" dyDescent="0.2" customHeight="1">
      <c r="A96">
        <v>450</v>
      </c>
      <c r="B96">
        <v>450</v>
      </c>
      <c r="C96">
        <v>450</v>
      </c>
      <c r="D96">
        <v>150</v>
      </c>
      <c r="E96">
        <v>100</v>
      </c>
      <c r="F96" s="48">
        <v>100</v>
      </c>
      <c r="G96">
        <v>300</v>
      </c>
      <c r="H96">
        <v>300</v>
      </c>
      <c r="I96">
        <v>150</v>
      </c>
      <c r="J96">
        <v>400</v>
      </c>
      <c r="K96">
        <v>400</v>
      </c>
      <c r="L96">
        <v>150</v>
      </c>
      <c r="M96">
        <v>150</v>
      </c>
      <c r="N96">
        <v>400</v>
      </c>
      <c r="O96">
        <v>300</v>
      </c>
      <c r="P96">
        <v>300</v>
      </c>
      <c r="Q96">
        <v>150</v>
      </c>
      <c r="R96">
        <v>150</v>
      </c>
      <c r="S96">
        <v>150</v>
      </c>
      <c r="T96">
        <v>450</v>
      </c>
      <c r="U96">
        <v>300</v>
      </c>
      <c r="V96">
        <v>300</v>
      </c>
      <c r="W96">
        <v>150</v>
      </c>
      <c r="X96">
        <v>400</v>
      </c>
      <c r="Y96">
        <v>400</v>
      </c>
      <c r="Z96">
        <v>450</v>
      </c>
      <c r="AA96">
        <v>150</v>
      </c>
      <c r="AB96">
        <v>150</v>
      </c>
      <c r="AC96">
        <v>150</v>
      </c>
      <c r="AD96">
        <v>150</v>
      </c>
    </row>
    <row r="97" spans="1:56" ht="12.75" dyDescent="0.2" customHeight="1">
      <c r="A97">
        <v>300</v>
      </c>
      <c r="B97">
        <v>300</v>
      </c>
      <c r="C97">
        <v>300</v>
      </c>
      <c r="D97">
        <v>150</v>
      </c>
      <c r="E97">
        <v>150</v>
      </c>
      <c r="F97">
        <v>150</v>
      </c>
      <c r="G97" s="48">
        <v>100</v>
      </c>
      <c r="H97">
        <v>100</v>
      </c>
      <c r="I97">
        <v>150</v>
      </c>
      <c r="J97">
        <v>400</v>
      </c>
      <c r="K97">
        <v>400</v>
      </c>
      <c r="L97">
        <v>300</v>
      </c>
      <c r="M97">
        <v>300</v>
      </c>
      <c r="N97">
        <v>150</v>
      </c>
      <c r="O97">
        <v>150</v>
      </c>
      <c r="P97">
        <v>100</v>
      </c>
      <c r="Q97">
        <v>300</v>
      </c>
      <c r="R97">
        <v>300</v>
      </c>
      <c r="S97">
        <v>150</v>
      </c>
      <c r="T97">
        <v>400</v>
      </c>
      <c r="U97">
        <v>300</v>
      </c>
      <c r="V97">
        <v>300</v>
      </c>
      <c r="W97">
        <v>400</v>
      </c>
      <c r="X97">
        <v>400</v>
      </c>
      <c r="Y97">
        <v>400</v>
      </c>
      <c r="Z97">
        <v>450</v>
      </c>
      <c r="AA97">
        <v>150</v>
      </c>
      <c r="AB97">
        <v>150</v>
      </c>
      <c r="AC97">
        <v>150</v>
      </c>
      <c r="AD97">
        <v>400</v>
      </c>
    </row>
    <row r="98" spans="1:56" ht="12.75" dyDescent="0.2" customHeight="1">
      <c r="A98">
        <v>300</v>
      </c>
      <c r="B98">
        <v>300</v>
      </c>
      <c r="C98">
        <v>300</v>
      </c>
      <c r="D98">
        <v>150</v>
      </c>
      <c r="E98">
        <v>150</v>
      </c>
      <c r="F98">
        <v>150</v>
      </c>
      <c r="G98">
        <v>100</v>
      </c>
      <c r="H98" s="48">
        <v>100</v>
      </c>
      <c r="I98">
        <v>150</v>
      </c>
      <c r="J98">
        <v>400</v>
      </c>
      <c r="K98">
        <v>400</v>
      </c>
      <c r="L98">
        <v>300</v>
      </c>
      <c r="M98">
        <v>300</v>
      </c>
      <c r="N98">
        <v>150</v>
      </c>
      <c r="O98">
        <v>150</v>
      </c>
      <c r="P98">
        <v>100</v>
      </c>
      <c r="Q98">
        <v>300</v>
      </c>
      <c r="R98">
        <v>300</v>
      </c>
      <c r="S98">
        <v>150</v>
      </c>
      <c r="T98">
        <v>400</v>
      </c>
      <c r="U98">
        <v>300</v>
      </c>
      <c r="V98">
        <v>300</v>
      </c>
      <c r="W98">
        <v>400</v>
      </c>
      <c r="X98">
        <v>400</v>
      </c>
      <c r="Y98">
        <v>400</v>
      </c>
      <c r="Z98">
        <v>450</v>
      </c>
      <c r="AA98">
        <v>150</v>
      </c>
      <c r="AB98">
        <v>150</v>
      </c>
      <c r="AC98">
        <v>150</v>
      </c>
      <c r="AD98">
        <v>400</v>
      </c>
    </row>
    <row r="99" spans="1:56" ht="12.75" dyDescent="0.2" customHeight="1">
      <c r="A99">
        <v>150</v>
      </c>
      <c r="B99">
        <v>150</v>
      </c>
      <c r="C99">
        <v>150</v>
      </c>
      <c r="D99">
        <v>300</v>
      </c>
      <c r="E99">
        <v>150</v>
      </c>
      <c r="F99">
        <v>150</v>
      </c>
      <c r="G99">
        <v>150</v>
      </c>
      <c r="H99">
        <v>150</v>
      </c>
      <c r="I99" s="48">
        <v>100</v>
      </c>
      <c r="J99">
        <v>300</v>
      </c>
      <c r="K99">
        <v>300</v>
      </c>
      <c r="L99">
        <v>450</v>
      </c>
      <c r="M99">
        <v>450</v>
      </c>
      <c r="N99">
        <v>150</v>
      </c>
      <c r="O99">
        <v>300</v>
      </c>
      <c r="P99">
        <v>150</v>
      </c>
      <c r="Q99">
        <v>450</v>
      </c>
      <c r="R99">
        <v>450</v>
      </c>
      <c r="S99">
        <v>300</v>
      </c>
      <c r="T99">
        <v>400</v>
      </c>
      <c r="U99">
        <v>150</v>
      </c>
      <c r="V99">
        <v>150</v>
      </c>
      <c r="W99">
        <v>400</v>
      </c>
      <c r="X99">
        <v>300</v>
      </c>
      <c r="Y99">
        <v>300</v>
      </c>
      <c r="Z99">
        <v>300</v>
      </c>
      <c r="AA99">
        <v>400</v>
      </c>
      <c r="AB99">
        <v>400</v>
      </c>
      <c r="AC99">
        <v>400</v>
      </c>
      <c r="AD99">
        <v>450</v>
      </c>
    </row>
    <row r="100" spans="1:56" ht="12.75" dyDescent="0.2" customHeight="1">
      <c r="A100">
        <v>150</v>
      </c>
      <c r="B100">
        <v>150</v>
      </c>
      <c r="C100">
        <v>150</v>
      </c>
      <c r="D100">
        <v>400</v>
      </c>
      <c r="E100">
        <v>400</v>
      </c>
      <c r="F100">
        <v>400</v>
      </c>
      <c r="G100">
        <v>400</v>
      </c>
      <c r="H100">
        <v>400</v>
      </c>
      <c r="I100">
        <v>300</v>
      </c>
      <c r="J100" s="48">
        <v>100</v>
      </c>
      <c r="K100">
        <v>100</v>
      </c>
      <c r="L100">
        <v>450</v>
      </c>
      <c r="M100">
        <v>450</v>
      </c>
      <c r="N100">
        <v>150</v>
      </c>
      <c r="O100">
        <v>300</v>
      </c>
      <c r="P100">
        <v>400</v>
      </c>
      <c r="Q100">
        <v>450</v>
      </c>
      <c r="R100">
        <v>450</v>
      </c>
      <c r="S100">
        <v>400</v>
      </c>
      <c r="T100">
        <v>150</v>
      </c>
      <c r="U100">
        <v>300</v>
      </c>
      <c r="V100">
        <v>300</v>
      </c>
      <c r="W100">
        <v>450</v>
      </c>
      <c r="X100">
        <v>150</v>
      </c>
      <c r="Y100">
        <v>150</v>
      </c>
      <c r="Z100">
        <v>300</v>
      </c>
      <c r="AA100">
        <v>400</v>
      </c>
      <c r="AB100">
        <v>400</v>
      </c>
      <c r="AC100">
        <v>400</v>
      </c>
      <c r="AD100">
        <v>450</v>
      </c>
    </row>
    <row r="101" spans="1:56" ht="12.75" dyDescent="0.2" customHeight="1">
      <c r="A101">
        <v>150</v>
      </c>
      <c r="B101">
        <v>150</v>
      </c>
      <c r="C101">
        <v>150</v>
      </c>
      <c r="D101">
        <v>400</v>
      </c>
      <c r="E101">
        <v>400</v>
      </c>
      <c r="F101">
        <v>400</v>
      </c>
      <c r="G101">
        <v>400</v>
      </c>
      <c r="H101">
        <v>400</v>
      </c>
      <c r="I101">
        <v>300</v>
      </c>
      <c r="J101">
        <v>100</v>
      </c>
      <c r="K101" s="48">
        <v>100</v>
      </c>
      <c r="L101">
        <v>450</v>
      </c>
      <c r="M101">
        <v>450</v>
      </c>
      <c r="N101">
        <v>150</v>
      </c>
      <c r="O101">
        <v>300</v>
      </c>
      <c r="P101">
        <v>400</v>
      </c>
      <c r="Q101">
        <v>450</v>
      </c>
      <c r="R101">
        <v>450</v>
      </c>
      <c r="S101">
        <v>400</v>
      </c>
      <c r="T101">
        <v>150</v>
      </c>
      <c r="U101">
        <v>300</v>
      </c>
      <c r="V101">
        <v>300</v>
      </c>
      <c r="W101">
        <v>450</v>
      </c>
      <c r="X101">
        <v>150</v>
      </c>
      <c r="Y101">
        <v>150</v>
      </c>
      <c r="Z101">
        <v>300</v>
      </c>
      <c r="AA101">
        <v>400</v>
      </c>
      <c r="AB101">
        <v>400</v>
      </c>
      <c r="AC101">
        <v>400</v>
      </c>
      <c r="AD101">
        <v>450</v>
      </c>
    </row>
    <row r="102" spans="1:56" ht="12.75" dyDescent="0.2" customHeight="1">
      <c r="A102">
        <v>450</v>
      </c>
      <c r="B102">
        <v>450</v>
      </c>
      <c r="C102">
        <v>450</v>
      </c>
      <c r="D102">
        <v>150</v>
      </c>
      <c r="E102">
        <v>150</v>
      </c>
      <c r="F102">
        <v>150</v>
      </c>
      <c r="G102">
        <v>300</v>
      </c>
      <c r="H102">
        <v>300</v>
      </c>
      <c r="I102">
        <v>450</v>
      </c>
      <c r="J102">
        <v>450</v>
      </c>
      <c r="K102">
        <v>450</v>
      </c>
      <c r="L102" s="48">
        <v>100</v>
      </c>
      <c r="M102">
        <v>100</v>
      </c>
      <c r="N102">
        <v>300</v>
      </c>
      <c r="O102">
        <v>300</v>
      </c>
      <c r="P102">
        <v>300</v>
      </c>
      <c r="Q102">
        <v>100</v>
      </c>
      <c r="R102">
        <v>100</v>
      </c>
      <c r="S102">
        <v>150</v>
      </c>
      <c r="T102">
        <v>450</v>
      </c>
      <c r="U102">
        <v>400</v>
      </c>
      <c r="V102">
        <v>400</v>
      </c>
      <c r="W102">
        <v>300</v>
      </c>
      <c r="X102">
        <v>150</v>
      </c>
      <c r="Y102">
        <v>400</v>
      </c>
      <c r="Z102">
        <v>450</v>
      </c>
      <c r="AA102">
        <v>150</v>
      </c>
      <c r="AB102">
        <v>300</v>
      </c>
      <c r="AC102">
        <v>300</v>
      </c>
      <c r="AD102">
        <v>400</v>
      </c>
    </row>
    <row r="103" spans="1:56" ht="12.75" dyDescent="0.2" customHeight="1">
      <c r="A103">
        <v>450</v>
      </c>
      <c r="B103">
        <v>450</v>
      </c>
      <c r="C103">
        <v>450</v>
      </c>
      <c r="D103">
        <v>150</v>
      </c>
      <c r="E103">
        <v>150</v>
      </c>
      <c r="F103">
        <v>150</v>
      </c>
      <c r="G103">
        <v>300</v>
      </c>
      <c r="H103">
        <v>300</v>
      </c>
      <c r="I103">
        <v>450</v>
      </c>
      <c r="J103">
        <v>450</v>
      </c>
      <c r="K103">
        <v>450</v>
      </c>
      <c r="L103">
        <v>100</v>
      </c>
      <c r="M103" s="48">
        <v>100</v>
      </c>
      <c r="N103">
        <v>300</v>
      </c>
      <c r="O103">
        <v>300</v>
      </c>
      <c r="P103">
        <v>300</v>
      </c>
      <c r="Q103">
        <v>100</v>
      </c>
      <c r="R103">
        <v>100</v>
      </c>
      <c r="S103">
        <v>150</v>
      </c>
      <c r="T103">
        <v>450</v>
      </c>
      <c r="U103">
        <v>400</v>
      </c>
      <c r="V103">
        <v>400</v>
      </c>
      <c r="W103">
        <v>300</v>
      </c>
      <c r="X103">
        <v>150</v>
      </c>
      <c r="Y103">
        <v>400</v>
      </c>
      <c r="Z103">
        <v>450</v>
      </c>
      <c r="AA103">
        <v>150</v>
      </c>
      <c r="AB103">
        <v>300</v>
      </c>
      <c r="AC103">
        <v>300</v>
      </c>
      <c r="AD103">
        <v>400</v>
      </c>
    </row>
    <row r="104" spans="1:56" ht="12.75" dyDescent="0.2" customHeight="1">
      <c r="A104">
        <v>150</v>
      </c>
      <c r="B104">
        <v>150</v>
      </c>
      <c r="C104">
        <v>150</v>
      </c>
      <c r="D104">
        <v>300</v>
      </c>
      <c r="E104">
        <v>400</v>
      </c>
      <c r="F104">
        <v>400</v>
      </c>
      <c r="G104">
        <v>150</v>
      </c>
      <c r="H104">
        <v>150</v>
      </c>
      <c r="I104">
        <v>150</v>
      </c>
      <c r="J104">
        <v>150</v>
      </c>
      <c r="K104">
        <v>150</v>
      </c>
      <c r="L104">
        <v>300</v>
      </c>
      <c r="M104">
        <v>300</v>
      </c>
      <c r="N104" s="48">
        <v>100</v>
      </c>
      <c r="O104">
        <v>150</v>
      </c>
      <c r="P104">
        <v>150</v>
      </c>
      <c r="Q104">
        <v>300</v>
      </c>
      <c r="R104">
        <v>300</v>
      </c>
      <c r="S104">
        <v>300</v>
      </c>
      <c r="T104">
        <v>300</v>
      </c>
      <c r="U104">
        <v>150</v>
      </c>
      <c r="V104">
        <v>150</v>
      </c>
      <c r="W104">
        <v>450</v>
      </c>
      <c r="X104">
        <v>150</v>
      </c>
      <c r="Y104">
        <v>150</v>
      </c>
      <c r="Z104">
        <v>400</v>
      </c>
      <c r="AA104">
        <v>400</v>
      </c>
      <c r="AB104">
        <v>450</v>
      </c>
      <c r="AC104">
        <v>450</v>
      </c>
      <c r="AD104">
        <v>450</v>
      </c>
    </row>
    <row r="105" spans="1:56" ht="12.75" dyDescent="0.2" customHeight="1">
      <c r="A105">
        <v>300</v>
      </c>
      <c r="B105">
        <v>300</v>
      </c>
      <c r="C105">
        <v>300</v>
      </c>
      <c r="D105">
        <v>150</v>
      </c>
      <c r="E105">
        <v>300</v>
      </c>
      <c r="F105">
        <v>300</v>
      </c>
      <c r="G105">
        <v>150</v>
      </c>
      <c r="H105">
        <v>150</v>
      </c>
      <c r="I105">
        <v>300</v>
      </c>
      <c r="J105">
        <v>300</v>
      </c>
      <c r="K105">
        <v>300</v>
      </c>
      <c r="L105">
        <v>300</v>
      </c>
      <c r="M105">
        <v>300</v>
      </c>
      <c r="N105">
        <v>150</v>
      </c>
      <c r="O105" s="48">
        <v>100</v>
      </c>
      <c r="P105">
        <v>150</v>
      </c>
      <c r="Q105">
        <v>300</v>
      </c>
      <c r="R105">
        <v>300</v>
      </c>
      <c r="S105">
        <v>150</v>
      </c>
      <c r="T105">
        <v>450</v>
      </c>
      <c r="U105">
        <v>150</v>
      </c>
      <c r="V105">
        <v>150</v>
      </c>
      <c r="W105">
        <v>450</v>
      </c>
      <c r="X105">
        <v>150</v>
      </c>
      <c r="Y105">
        <v>400</v>
      </c>
      <c r="Z105">
        <v>450</v>
      </c>
      <c r="AA105">
        <v>150</v>
      </c>
      <c r="AB105">
        <v>150</v>
      </c>
      <c r="AC105">
        <v>150</v>
      </c>
      <c r="AD105">
        <v>450</v>
      </c>
    </row>
    <row r="106" spans="1:56" ht="12.75" dyDescent="0.2" customHeight="1">
      <c r="A106">
        <v>400</v>
      </c>
      <c r="B106">
        <v>400</v>
      </c>
      <c r="C106">
        <v>400</v>
      </c>
      <c r="D106">
        <v>150</v>
      </c>
      <c r="E106">
        <v>300</v>
      </c>
      <c r="F106">
        <v>300</v>
      </c>
      <c r="G106">
        <v>100</v>
      </c>
      <c r="H106">
        <v>100</v>
      </c>
      <c r="I106">
        <v>150</v>
      </c>
      <c r="J106">
        <v>400</v>
      </c>
      <c r="K106">
        <v>400</v>
      </c>
      <c r="L106">
        <v>300</v>
      </c>
      <c r="M106">
        <v>300</v>
      </c>
      <c r="N106">
        <v>150</v>
      </c>
      <c r="O106">
        <v>150</v>
      </c>
      <c r="P106" s="48">
        <v>100</v>
      </c>
      <c r="Q106">
        <v>100</v>
      </c>
      <c r="R106">
        <v>300</v>
      </c>
      <c r="S106">
        <v>150</v>
      </c>
      <c r="T106">
        <v>400</v>
      </c>
      <c r="U106">
        <v>150</v>
      </c>
      <c r="V106">
        <v>150</v>
      </c>
      <c r="W106">
        <v>400</v>
      </c>
      <c r="X106">
        <v>400</v>
      </c>
      <c r="Y106">
        <v>400</v>
      </c>
      <c r="Z106">
        <v>450</v>
      </c>
      <c r="AA106">
        <v>150</v>
      </c>
      <c r="AB106">
        <v>150</v>
      </c>
      <c r="AC106">
        <v>150</v>
      </c>
      <c r="AD106">
        <v>400</v>
      </c>
    </row>
    <row r="107" spans="1:56" ht="12.75" dyDescent="0.2" customHeight="1">
      <c r="A107">
        <v>450</v>
      </c>
      <c r="B107">
        <v>450</v>
      </c>
      <c r="C107">
        <v>450</v>
      </c>
      <c r="D107">
        <v>150</v>
      </c>
      <c r="E107">
        <v>150</v>
      </c>
      <c r="F107">
        <v>150</v>
      </c>
      <c r="G107">
        <v>300</v>
      </c>
      <c r="H107">
        <v>300</v>
      </c>
      <c r="I107">
        <v>450</v>
      </c>
      <c r="J107">
        <v>450</v>
      </c>
      <c r="K107">
        <v>450</v>
      </c>
      <c r="L107">
        <v>100</v>
      </c>
      <c r="M107">
        <v>100</v>
      </c>
      <c r="N107">
        <v>300</v>
      </c>
      <c r="O107">
        <v>300</v>
      </c>
      <c r="P107">
        <v>100</v>
      </c>
      <c r="Q107" s="48">
        <v>100</v>
      </c>
      <c r="R107">
        <v>100</v>
      </c>
      <c r="S107">
        <v>150</v>
      </c>
      <c r="T107">
        <v>450</v>
      </c>
      <c r="U107">
        <v>400</v>
      </c>
      <c r="V107">
        <v>400</v>
      </c>
      <c r="W107">
        <v>300</v>
      </c>
      <c r="X107">
        <v>150</v>
      </c>
      <c r="Y107">
        <v>400</v>
      </c>
      <c r="Z107">
        <v>450</v>
      </c>
      <c r="AA107">
        <v>150</v>
      </c>
      <c r="AB107">
        <v>300</v>
      </c>
      <c r="AC107">
        <v>300</v>
      </c>
      <c r="AD107">
        <v>400</v>
      </c>
    </row>
    <row r="108" spans="1:56" ht="12.75" dyDescent="0.2" customHeight="1">
      <c r="A108">
        <v>450</v>
      </c>
      <c r="B108">
        <v>450</v>
      </c>
      <c r="C108">
        <v>450</v>
      </c>
      <c r="D108">
        <v>150</v>
      </c>
      <c r="E108">
        <v>150</v>
      </c>
      <c r="F108">
        <v>150</v>
      </c>
      <c r="G108">
        <v>300</v>
      </c>
      <c r="H108">
        <v>300</v>
      </c>
      <c r="I108">
        <v>450</v>
      </c>
      <c r="J108">
        <v>450</v>
      </c>
      <c r="K108">
        <v>450</v>
      </c>
      <c r="L108">
        <v>100</v>
      </c>
      <c r="M108">
        <v>100</v>
      </c>
      <c r="N108">
        <v>300</v>
      </c>
      <c r="O108">
        <v>300</v>
      </c>
      <c r="P108">
        <v>300</v>
      </c>
      <c r="Q108">
        <v>100</v>
      </c>
      <c r="R108" s="48">
        <v>100</v>
      </c>
      <c r="S108">
        <v>150</v>
      </c>
      <c r="T108">
        <v>450</v>
      </c>
      <c r="U108">
        <v>450</v>
      </c>
      <c r="V108">
        <v>450</v>
      </c>
      <c r="W108">
        <v>300</v>
      </c>
      <c r="X108">
        <v>150</v>
      </c>
      <c r="Y108">
        <v>400</v>
      </c>
      <c r="Z108">
        <v>450</v>
      </c>
      <c r="AA108">
        <v>150</v>
      </c>
      <c r="AB108">
        <v>300</v>
      </c>
      <c r="AC108">
        <v>300</v>
      </c>
      <c r="AD108">
        <v>400</v>
      </c>
    </row>
    <row r="109" spans="1:56" ht="12.75" dyDescent="0.2" customHeight="1">
      <c r="A109">
        <v>450</v>
      </c>
      <c r="B109">
        <v>450</v>
      </c>
      <c r="C109">
        <v>450</v>
      </c>
      <c r="D109">
        <v>100</v>
      </c>
      <c r="E109">
        <v>150</v>
      </c>
      <c r="F109">
        <v>150</v>
      </c>
      <c r="G109">
        <v>150</v>
      </c>
      <c r="H109">
        <v>150</v>
      </c>
      <c r="I109">
        <v>300</v>
      </c>
      <c r="J109">
        <v>400</v>
      </c>
      <c r="K109">
        <v>400</v>
      </c>
      <c r="L109">
        <v>150</v>
      </c>
      <c r="M109">
        <v>150</v>
      </c>
      <c r="N109">
        <v>300</v>
      </c>
      <c r="O109">
        <v>150</v>
      </c>
      <c r="P109">
        <v>150</v>
      </c>
      <c r="Q109">
        <v>150</v>
      </c>
      <c r="R109">
        <v>150</v>
      </c>
      <c r="S109" s="48">
        <v>100</v>
      </c>
      <c r="T109">
        <v>450</v>
      </c>
      <c r="U109">
        <v>300</v>
      </c>
      <c r="V109">
        <v>300</v>
      </c>
      <c r="W109">
        <v>150</v>
      </c>
      <c r="X109">
        <v>300</v>
      </c>
      <c r="Y109">
        <v>400</v>
      </c>
      <c r="Z109">
        <v>450</v>
      </c>
      <c r="AA109">
        <v>150</v>
      </c>
      <c r="AB109">
        <v>150</v>
      </c>
      <c r="AC109">
        <v>150</v>
      </c>
      <c r="AD109">
        <v>150</v>
      </c>
    </row>
    <row r="110" spans="1:56" ht="12.75" dyDescent="0.2" customHeight="1">
      <c r="A110">
        <v>150</v>
      </c>
      <c r="B110">
        <v>150</v>
      </c>
      <c r="C110">
        <v>150</v>
      </c>
      <c r="D110">
        <v>450</v>
      </c>
      <c r="E110">
        <v>450</v>
      </c>
      <c r="F110">
        <v>450</v>
      </c>
      <c r="G110">
        <v>400</v>
      </c>
      <c r="H110">
        <v>400</v>
      </c>
      <c r="I110">
        <v>400</v>
      </c>
      <c r="J110">
        <v>150</v>
      </c>
      <c r="K110">
        <v>150</v>
      </c>
      <c r="L110">
        <v>450</v>
      </c>
      <c r="M110">
        <v>450</v>
      </c>
      <c r="N110">
        <v>300</v>
      </c>
      <c r="O110">
        <v>450</v>
      </c>
      <c r="P110">
        <v>400</v>
      </c>
      <c r="Q110">
        <v>450</v>
      </c>
      <c r="R110">
        <v>450</v>
      </c>
      <c r="S110">
        <v>450</v>
      </c>
      <c r="T110" s="48">
        <v>100</v>
      </c>
      <c r="U110">
        <v>400</v>
      </c>
      <c r="V110">
        <v>400</v>
      </c>
      <c r="W110">
        <v>450</v>
      </c>
      <c r="X110">
        <v>300</v>
      </c>
      <c r="Y110">
        <v>150</v>
      </c>
      <c r="Z110">
        <v>150</v>
      </c>
      <c r="AA110">
        <v>400</v>
      </c>
      <c r="AB110">
        <v>400</v>
      </c>
      <c r="AC110">
        <v>400</v>
      </c>
      <c r="AD110">
        <v>450</v>
      </c>
    </row>
    <row r="111" spans="1:56" ht="12.75" dyDescent="0.2" customHeight="1">
      <c r="A111">
        <v>150</v>
      </c>
      <c r="B111">
        <v>150</v>
      </c>
      <c r="C111">
        <v>150</v>
      </c>
      <c r="D111">
        <v>300</v>
      </c>
      <c r="E111">
        <v>300</v>
      </c>
      <c r="F111">
        <v>300</v>
      </c>
      <c r="G111">
        <v>150</v>
      </c>
      <c r="H111">
        <v>150</v>
      </c>
      <c r="I111">
        <v>150</v>
      </c>
      <c r="J111">
        <v>300</v>
      </c>
      <c r="K111">
        <v>300</v>
      </c>
      <c r="L111">
        <v>400</v>
      </c>
      <c r="M111">
        <v>400</v>
      </c>
      <c r="N111">
        <v>150</v>
      </c>
      <c r="O111">
        <v>150</v>
      </c>
      <c r="P111">
        <v>150</v>
      </c>
      <c r="Q111">
        <v>400</v>
      </c>
      <c r="R111">
        <v>400</v>
      </c>
      <c r="S111">
        <v>300</v>
      </c>
      <c r="T111">
        <v>400</v>
      </c>
      <c r="U111" s="48">
        <v>100</v>
      </c>
      <c r="V111">
        <v>100</v>
      </c>
      <c r="W111">
        <v>400</v>
      </c>
      <c r="X111">
        <v>300</v>
      </c>
      <c r="Y111">
        <v>300</v>
      </c>
      <c r="Z111">
        <v>450</v>
      </c>
      <c r="AA111">
        <v>400</v>
      </c>
      <c r="AB111">
        <v>150</v>
      </c>
      <c r="AC111">
        <v>150</v>
      </c>
      <c r="AD111">
        <v>450</v>
      </c>
    </row>
    <row r="112" spans="1:56" ht="12.75" dyDescent="0.2" customHeight="1">
      <c r="A112">
        <v>150</v>
      </c>
      <c r="B112">
        <v>150</v>
      </c>
      <c r="C112">
        <v>150</v>
      </c>
      <c r="D112">
        <v>300</v>
      </c>
      <c r="E112">
        <v>300</v>
      </c>
      <c r="F112">
        <v>300</v>
      </c>
      <c r="G112">
        <v>150</v>
      </c>
      <c r="H112">
        <v>150</v>
      </c>
      <c r="I112">
        <v>150</v>
      </c>
      <c r="J112">
        <v>300</v>
      </c>
      <c r="K112">
        <v>300</v>
      </c>
      <c r="L112">
        <v>400</v>
      </c>
      <c r="M112">
        <v>400</v>
      </c>
      <c r="N112">
        <v>150</v>
      </c>
      <c r="O112">
        <v>150</v>
      </c>
      <c r="P112">
        <v>150</v>
      </c>
      <c r="Q112">
        <v>400</v>
      </c>
      <c r="R112">
        <v>400</v>
      </c>
      <c r="S112">
        <v>300</v>
      </c>
      <c r="T112">
        <v>400</v>
      </c>
      <c r="U112">
        <v>100</v>
      </c>
      <c r="V112" s="48">
        <v>100</v>
      </c>
      <c r="W112">
        <v>400</v>
      </c>
      <c r="X112">
        <v>300</v>
      </c>
      <c r="Y112">
        <v>300</v>
      </c>
      <c r="Z112">
        <v>450</v>
      </c>
      <c r="AA112">
        <v>400</v>
      </c>
      <c r="AB112">
        <v>150</v>
      </c>
      <c r="AC112">
        <v>150</v>
      </c>
      <c r="AD112">
        <v>450</v>
      </c>
    </row>
    <row r="113" spans="1:56" ht="12.75" dyDescent="0.2" customHeight="1">
      <c r="A113">
        <v>450</v>
      </c>
      <c r="B113">
        <v>450</v>
      </c>
      <c r="C113">
        <v>450</v>
      </c>
      <c r="D113">
        <v>150</v>
      </c>
      <c r="E113">
        <v>150</v>
      </c>
      <c r="F113">
        <v>150</v>
      </c>
      <c r="G113">
        <v>400</v>
      </c>
      <c r="H113">
        <v>400</v>
      </c>
      <c r="I113">
        <v>400</v>
      </c>
      <c r="J113">
        <v>450</v>
      </c>
      <c r="K113">
        <v>450</v>
      </c>
      <c r="L113">
        <v>300</v>
      </c>
      <c r="M113">
        <v>300</v>
      </c>
      <c r="N113">
        <v>450</v>
      </c>
      <c r="O113">
        <v>450</v>
      </c>
      <c r="P113">
        <v>400</v>
      </c>
      <c r="Q113">
        <v>300</v>
      </c>
      <c r="R113">
        <v>300</v>
      </c>
      <c r="S113">
        <v>150</v>
      </c>
      <c r="T113">
        <v>450</v>
      </c>
      <c r="U113">
        <v>400</v>
      </c>
      <c r="V113">
        <v>400</v>
      </c>
      <c r="W113" s="48">
        <v>100</v>
      </c>
      <c r="X113">
        <v>400</v>
      </c>
      <c r="Y113">
        <v>450</v>
      </c>
      <c r="Z113">
        <v>450</v>
      </c>
      <c r="AA113">
        <v>300</v>
      </c>
      <c r="AB113">
        <v>150</v>
      </c>
      <c r="AC113">
        <v>150</v>
      </c>
      <c r="AD113">
        <v>150</v>
      </c>
    </row>
    <row r="114" spans="1:56" ht="12.75" dyDescent="0.2" customHeight="1">
      <c r="A114">
        <v>300</v>
      </c>
      <c r="B114">
        <v>300</v>
      </c>
      <c r="C114">
        <v>300</v>
      </c>
      <c r="D114">
        <v>300</v>
      </c>
      <c r="E114">
        <v>400</v>
      </c>
      <c r="F114">
        <v>400</v>
      </c>
      <c r="G114">
        <v>400</v>
      </c>
      <c r="H114">
        <v>400</v>
      </c>
      <c r="I114">
        <v>300</v>
      </c>
      <c r="J114">
        <v>150</v>
      </c>
      <c r="K114">
        <v>150</v>
      </c>
      <c r="L114">
        <v>150</v>
      </c>
      <c r="M114">
        <v>150</v>
      </c>
      <c r="N114">
        <v>150</v>
      </c>
      <c r="O114">
        <v>150</v>
      </c>
      <c r="P114">
        <v>400</v>
      </c>
      <c r="Q114">
        <v>150</v>
      </c>
      <c r="R114">
        <v>150</v>
      </c>
      <c r="S114">
        <v>300</v>
      </c>
      <c r="T114">
        <v>300</v>
      </c>
      <c r="U114">
        <v>300</v>
      </c>
      <c r="V114">
        <v>300</v>
      </c>
      <c r="W114">
        <v>400</v>
      </c>
      <c r="X114" s="48">
        <v>100</v>
      </c>
      <c r="Y114">
        <v>150</v>
      </c>
      <c r="Z114">
        <v>400</v>
      </c>
      <c r="AA114">
        <v>150</v>
      </c>
      <c r="AB114">
        <v>400</v>
      </c>
      <c r="AC114">
        <v>400</v>
      </c>
      <c r="AD114">
        <v>450</v>
      </c>
    </row>
    <row r="115" spans="1:56" ht="12.75" dyDescent="0.2" customHeight="1">
      <c r="A115">
        <v>150</v>
      </c>
      <c r="B115">
        <v>150</v>
      </c>
      <c r="C115">
        <v>150</v>
      </c>
      <c r="D115">
        <v>400</v>
      </c>
      <c r="E115">
        <v>400</v>
      </c>
      <c r="F115">
        <v>400</v>
      </c>
      <c r="G115">
        <v>400</v>
      </c>
      <c r="H115">
        <v>400</v>
      </c>
      <c r="I115">
        <v>300</v>
      </c>
      <c r="J115">
        <v>150</v>
      </c>
      <c r="K115">
        <v>150</v>
      </c>
      <c r="L115">
        <v>400</v>
      </c>
      <c r="M115">
        <v>400</v>
      </c>
      <c r="N115">
        <v>150</v>
      </c>
      <c r="O115">
        <v>400</v>
      </c>
      <c r="P115">
        <v>400</v>
      </c>
      <c r="Q115">
        <v>400</v>
      </c>
      <c r="R115">
        <v>400</v>
      </c>
      <c r="S115">
        <v>400</v>
      </c>
      <c r="T115">
        <v>150</v>
      </c>
      <c r="U115">
        <v>300</v>
      </c>
      <c r="V115">
        <v>300</v>
      </c>
      <c r="W115">
        <v>450</v>
      </c>
      <c r="X115">
        <v>150</v>
      </c>
      <c r="Y115" s="48">
        <v>100</v>
      </c>
      <c r="Z115">
        <v>300</v>
      </c>
      <c r="AA115">
        <v>400</v>
      </c>
      <c r="AB115">
        <v>400</v>
      </c>
      <c r="AC115">
        <v>400</v>
      </c>
      <c r="AD115">
        <v>450</v>
      </c>
    </row>
    <row r="116" spans="1:56" ht="12.75" dyDescent="0.2" customHeight="1">
      <c r="A116">
        <v>150</v>
      </c>
      <c r="B116">
        <v>150</v>
      </c>
      <c r="C116">
        <v>150</v>
      </c>
      <c r="D116">
        <v>450</v>
      </c>
      <c r="E116">
        <v>450</v>
      </c>
      <c r="F116">
        <v>450</v>
      </c>
      <c r="G116">
        <v>450</v>
      </c>
      <c r="H116">
        <v>450</v>
      </c>
      <c r="I116">
        <v>300</v>
      </c>
      <c r="J116">
        <v>300</v>
      </c>
      <c r="K116">
        <v>300</v>
      </c>
      <c r="L116">
        <v>450</v>
      </c>
      <c r="M116">
        <v>450</v>
      </c>
      <c r="N116">
        <v>400</v>
      </c>
      <c r="O116">
        <v>450</v>
      </c>
      <c r="P116">
        <v>450</v>
      </c>
      <c r="Q116">
        <v>450</v>
      </c>
      <c r="R116">
        <v>450</v>
      </c>
      <c r="S116">
        <v>450</v>
      </c>
      <c r="T116">
        <v>150</v>
      </c>
      <c r="U116">
        <v>450</v>
      </c>
      <c r="V116">
        <v>450</v>
      </c>
      <c r="W116">
        <v>450</v>
      </c>
      <c r="X116">
        <v>400</v>
      </c>
      <c r="Y116">
        <v>300</v>
      </c>
      <c r="Z116" s="48">
        <v>100</v>
      </c>
      <c r="AA116">
        <v>450</v>
      </c>
      <c r="AB116">
        <v>450</v>
      </c>
      <c r="AC116">
        <v>450</v>
      </c>
      <c r="AD116">
        <v>450</v>
      </c>
    </row>
    <row r="117" spans="1:56" ht="12.75" dyDescent="0.2" customHeight="1">
      <c r="A117">
        <v>150</v>
      </c>
      <c r="B117">
        <v>150</v>
      </c>
      <c r="C117">
        <v>150</v>
      </c>
      <c r="D117">
        <v>150</v>
      </c>
      <c r="E117">
        <v>150</v>
      </c>
      <c r="F117">
        <v>150</v>
      </c>
      <c r="G117">
        <v>150</v>
      </c>
      <c r="H117">
        <v>150</v>
      </c>
      <c r="I117">
        <v>400</v>
      </c>
      <c r="J117">
        <v>400</v>
      </c>
      <c r="K117">
        <v>400</v>
      </c>
      <c r="L117">
        <v>150</v>
      </c>
      <c r="M117">
        <v>150</v>
      </c>
      <c r="N117">
        <v>400</v>
      </c>
      <c r="O117">
        <v>150</v>
      </c>
      <c r="P117">
        <v>150</v>
      </c>
      <c r="Q117">
        <v>150</v>
      </c>
      <c r="R117">
        <v>150</v>
      </c>
      <c r="S117">
        <v>150</v>
      </c>
      <c r="T117">
        <v>400</v>
      </c>
      <c r="U117">
        <v>400</v>
      </c>
      <c r="V117">
        <v>400</v>
      </c>
      <c r="W117">
        <v>300</v>
      </c>
      <c r="X117">
        <v>150</v>
      </c>
      <c r="Y117">
        <v>400</v>
      </c>
      <c r="Z117">
        <v>450</v>
      </c>
      <c r="AA117" s="48">
        <v>100</v>
      </c>
      <c r="AB117">
        <v>150</v>
      </c>
      <c r="AC117">
        <v>150</v>
      </c>
      <c r="AD117">
        <v>300</v>
      </c>
    </row>
    <row r="118" spans="1:56" ht="12.75" dyDescent="0.2" customHeight="1">
      <c r="A118">
        <v>400</v>
      </c>
      <c r="B118">
        <v>400</v>
      </c>
      <c r="C118">
        <v>400</v>
      </c>
      <c r="D118">
        <v>150</v>
      </c>
      <c r="E118">
        <v>150</v>
      </c>
      <c r="F118">
        <v>150</v>
      </c>
      <c r="G118">
        <v>150</v>
      </c>
      <c r="H118">
        <v>150</v>
      </c>
      <c r="I118">
        <v>400</v>
      </c>
      <c r="J118">
        <v>400</v>
      </c>
      <c r="K118">
        <v>400</v>
      </c>
      <c r="L118">
        <v>300</v>
      </c>
      <c r="M118">
        <v>300</v>
      </c>
      <c r="N118">
        <v>450</v>
      </c>
      <c r="O118">
        <v>150</v>
      </c>
      <c r="P118">
        <v>150</v>
      </c>
      <c r="Q118">
        <v>300</v>
      </c>
      <c r="R118">
        <v>300</v>
      </c>
      <c r="S118">
        <v>150</v>
      </c>
      <c r="T118">
        <v>400</v>
      </c>
      <c r="U118">
        <v>150</v>
      </c>
      <c r="V118">
        <v>150</v>
      </c>
      <c r="W118">
        <v>150</v>
      </c>
      <c r="X118">
        <v>400</v>
      </c>
      <c r="Y118">
        <v>400</v>
      </c>
      <c r="Z118">
        <v>450</v>
      </c>
      <c r="AA118">
        <v>150</v>
      </c>
      <c r="AB118" s="48">
        <v>100</v>
      </c>
      <c r="AC118">
        <v>100</v>
      </c>
      <c r="AD118">
        <v>300</v>
      </c>
    </row>
    <row r="119" spans="1:56" ht="12.75" dyDescent="0.2" customHeight="1">
      <c r="A119">
        <v>400</v>
      </c>
      <c r="B119">
        <v>400</v>
      </c>
      <c r="C119">
        <v>400</v>
      </c>
      <c r="D119">
        <v>150</v>
      </c>
      <c r="E119">
        <v>150</v>
      </c>
      <c r="F119">
        <v>150</v>
      </c>
      <c r="G119">
        <v>150</v>
      </c>
      <c r="H119">
        <v>150</v>
      </c>
      <c r="I119">
        <v>400</v>
      </c>
      <c r="J119">
        <v>400</v>
      </c>
      <c r="K119">
        <v>400</v>
      </c>
      <c r="L119">
        <v>300</v>
      </c>
      <c r="M119">
        <v>300</v>
      </c>
      <c r="N119">
        <v>450</v>
      </c>
      <c r="O119">
        <v>150</v>
      </c>
      <c r="P119">
        <v>150</v>
      </c>
      <c r="Q119">
        <v>300</v>
      </c>
      <c r="R119">
        <v>300</v>
      </c>
      <c r="S119">
        <v>150</v>
      </c>
      <c r="T119">
        <v>400</v>
      </c>
      <c r="U119">
        <v>150</v>
      </c>
      <c r="V119">
        <v>150</v>
      </c>
      <c r="W119">
        <v>150</v>
      </c>
      <c r="X119">
        <v>400</v>
      </c>
      <c r="Y119">
        <v>400</v>
      </c>
      <c r="Z119">
        <v>450</v>
      </c>
      <c r="AA119">
        <v>150</v>
      </c>
      <c r="AB119">
        <v>100</v>
      </c>
      <c r="AC119" s="48">
        <v>100</v>
      </c>
      <c r="AD119">
        <v>300</v>
      </c>
    </row>
    <row r="120" spans="1:56" ht="12.75" dyDescent="0.2" customHeight="1">
      <c r="A120">
        <v>450</v>
      </c>
      <c r="B120">
        <v>450</v>
      </c>
      <c r="C120">
        <v>450</v>
      </c>
      <c r="D120">
        <v>150</v>
      </c>
      <c r="E120">
        <v>150</v>
      </c>
      <c r="F120">
        <v>150</v>
      </c>
      <c r="G120">
        <v>400</v>
      </c>
      <c r="H120">
        <v>400</v>
      </c>
      <c r="I120">
        <v>450</v>
      </c>
      <c r="J120">
        <v>450</v>
      </c>
      <c r="K120">
        <v>450</v>
      </c>
      <c r="L120">
        <v>400</v>
      </c>
      <c r="M120">
        <v>400</v>
      </c>
      <c r="N120">
        <v>450</v>
      </c>
      <c r="O120">
        <v>450</v>
      </c>
      <c r="P120">
        <v>400</v>
      </c>
      <c r="Q120">
        <v>400</v>
      </c>
      <c r="R120">
        <v>400</v>
      </c>
      <c r="S120">
        <v>150</v>
      </c>
      <c r="T120">
        <v>450</v>
      </c>
      <c r="U120">
        <v>450</v>
      </c>
      <c r="V120">
        <v>450</v>
      </c>
      <c r="W120">
        <v>150</v>
      </c>
      <c r="X120">
        <v>450</v>
      </c>
      <c r="Y120">
        <v>450</v>
      </c>
      <c r="Z120">
        <v>450</v>
      </c>
      <c r="AA120">
        <v>300</v>
      </c>
      <c r="AB120">
        <v>300</v>
      </c>
      <c r="AC120">
        <v>300</v>
      </c>
      <c r="AD120" s="48">
        <v>100</v>
      </c>
    </row>
    <row r="122" spans="1:56" ht="12.75" dyDescent="0.2" customHeight="1">
      <c r="A122" s="48">
        <v>150</v>
      </c>
      <c r="B122">
        <v>200</v>
      </c>
      <c r="C122">
        <v>200</v>
      </c>
      <c r="D122">
        <v>650</v>
      </c>
      <c r="E122">
        <v>650</v>
      </c>
      <c r="F122">
        <v>650</v>
      </c>
      <c r="G122">
        <v>500</v>
      </c>
      <c r="H122">
        <v>500</v>
      </c>
      <c r="I122">
        <v>200</v>
      </c>
      <c r="J122">
        <v>200</v>
      </c>
      <c r="K122">
        <v>200</v>
      </c>
      <c r="L122">
        <v>650</v>
      </c>
      <c r="M122">
        <v>650</v>
      </c>
      <c r="N122">
        <v>200</v>
      </c>
      <c r="O122">
        <v>250</v>
      </c>
      <c r="P122">
        <v>500</v>
      </c>
      <c r="Q122">
        <v>650</v>
      </c>
      <c r="R122">
        <v>650</v>
      </c>
      <c r="S122">
        <v>650</v>
      </c>
      <c r="T122">
        <v>200</v>
      </c>
      <c r="U122">
        <v>200</v>
      </c>
      <c r="V122">
        <v>200</v>
      </c>
      <c r="W122">
        <v>650</v>
      </c>
      <c r="X122">
        <v>250</v>
      </c>
      <c r="Y122">
        <v>200</v>
      </c>
      <c r="Z122">
        <v>200</v>
      </c>
      <c r="AA122">
        <v>200</v>
      </c>
      <c r="AB122">
        <v>500</v>
      </c>
      <c r="AC122">
        <v>500</v>
      </c>
      <c r="AD122">
        <v>650</v>
      </c>
    </row>
    <row r="123" spans="1:56" ht="12.75" dyDescent="0.2" customHeight="1">
      <c r="A123">
        <v>200</v>
      </c>
      <c r="B123" s="48">
        <v>150</v>
      </c>
      <c r="C123">
        <v>200</v>
      </c>
      <c r="D123">
        <v>650</v>
      </c>
      <c r="E123">
        <v>650</v>
      </c>
      <c r="F123">
        <v>650</v>
      </c>
      <c r="G123">
        <v>500</v>
      </c>
      <c r="H123">
        <v>500</v>
      </c>
      <c r="I123">
        <v>200</v>
      </c>
      <c r="J123">
        <v>200</v>
      </c>
      <c r="K123">
        <v>200</v>
      </c>
      <c r="L123">
        <v>650</v>
      </c>
      <c r="M123">
        <v>650</v>
      </c>
      <c r="N123">
        <v>200</v>
      </c>
      <c r="O123">
        <v>250</v>
      </c>
      <c r="P123">
        <v>500</v>
      </c>
      <c r="Q123">
        <v>650</v>
      </c>
      <c r="R123">
        <v>650</v>
      </c>
      <c r="S123">
        <v>650</v>
      </c>
      <c r="T123">
        <v>200</v>
      </c>
      <c r="U123">
        <v>250</v>
      </c>
      <c r="V123">
        <v>250</v>
      </c>
      <c r="W123">
        <v>650</v>
      </c>
      <c r="X123">
        <v>250</v>
      </c>
      <c r="Y123">
        <v>200</v>
      </c>
      <c r="Z123">
        <v>200</v>
      </c>
      <c r="AA123">
        <v>200</v>
      </c>
      <c r="AB123">
        <v>500</v>
      </c>
      <c r="AC123">
        <v>500</v>
      </c>
      <c r="AD123">
        <v>650</v>
      </c>
    </row>
    <row r="124" spans="1:56" ht="12.75" dyDescent="0.2" customHeight="1">
      <c r="A124">
        <v>200</v>
      </c>
      <c r="B124">
        <v>200</v>
      </c>
      <c r="C124" s="48">
        <v>150</v>
      </c>
      <c r="D124">
        <v>650</v>
      </c>
      <c r="E124">
        <v>650</v>
      </c>
      <c r="F124">
        <v>650</v>
      </c>
      <c r="G124">
        <v>500</v>
      </c>
      <c r="H124">
        <v>500</v>
      </c>
      <c r="I124">
        <v>200</v>
      </c>
      <c r="J124">
        <v>200</v>
      </c>
      <c r="K124">
        <v>200</v>
      </c>
      <c r="L124">
        <v>650</v>
      </c>
      <c r="M124">
        <v>650</v>
      </c>
      <c r="N124">
        <v>200</v>
      </c>
      <c r="O124">
        <v>250</v>
      </c>
      <c r="P124">
        <v>500</v>
      </c>
      <c r="Q124">
        <v>650</v>
      </c>
      <c r="R124">
        <v>650</v>
      </c>
      <c r="S124">
        <v>650</v>
      </c>
      <c r="T124">
        <v>200</v>
      </c>
      <c r="U124">
        <v>200</v>
      </c>
      <c r="V124">
        <v>200</v>
      </c>
      <c r="W124">
        <v>650</v>
      </c>
      <c r="X124">
        <v>250</v>
      </c>
      <c r="Y124">
        <v>200</v>
      </c>
      <c r="Z124">
        <v>200</v>
      </c>
      <c r="AA124">
        <v>200</v>
      </c>
      <c r="AB124">
        <v>500</v>
      </c>
      <c r="AC124">
        <v>500</v>
      </c>
      <c r="AD124">
        <v>650</v>
      </c>
    </row>
    <row r="125" spans="1:56" ht="12.75" dyDescent="0.2" customHeight="1">
      <c r="A125">
        <v>650</v>
      </c>
      <c r="B125">
        <v>650</v>
      </c>
      <c r="C125">
        <v>650</v>
      </c>
      <c r="D125" s="48">
        <v>150</v>
      </c>
      <c r="E125">
        <v>200</v>
      </c>
      <c r="F125">
        <v>200</v>
      </c>
      <c r="G125">
        <v>200</v>
      </c>
      <c r="H125">
        <v>200</v>
      </c>
      <c r="I125">
        <v>250</v>
      </c>
      <c r="J125">
        <v>500</v>
      </c>
      <c r="K125">
        <v>500</v>
      </c>
      <c r="L125">
        <v>200</v>
      </c>
      <c r="M125">
        <v>200</v>
      </c>
      <c r="N125">
        <v>250</v>
      </c>
      <c r="O125">
        <v>200</v>
      </c>
      <c r="P125">
        <v>200</v>
      </c>
      <c r="Q125">
        <v>200</v>
      </c>
      <c r="R125">
        <v>200</v>
      </c>
      <c r="S125">
        <v>150</v>
      </c>
      <c r="T125">
        <v>650</v>
      </c>
      <c r="U125">
        <v>250</v>
      </c>
      <c r="V125">
        <v>250</v>
      </c>
      <c r="W125">
        <v>200</v>
      </c>
      <c r="X125">
        <v>250</v>
      </c>
      <c r="Y125">
        <v>500</v>
      </c>
      <c r="Z125">
        <v>650</v>
      </c>
      <c r="AA125">
        <v>200</v>
      </c>
      <c r="AB125">
        <v>200</v>
      </c>
      <c r="AC125">
        <v>200</v>
      </c>
      <c r="AD125">
        <v>200</v>
      </c>
    </row>
    <row r="126" spans="1:56" ht="12.75" dyDescent="0.2" customHeight="1">
      <c r="A126">
        <v>650</v>
      </c>
      <c r="B126">
        <v>650</v>
      </c>
      <c r="C126">
        <v>650</v>
      </c>
      <c r="D126">
        <v>200</v>
      </c>
      <c r="E126" s="48">
        <v>150</v>
      </c>
      <c r="F126">
        <v>150</v>
      </c>
      <c r="G126">
        <v>250</v>
      </c>
      <c r="H126">
        <v>250</v>
      </c>
      <c r="I126">
        <v>200</v>
      </c>
      <c r="J126">
        <v>500</v>
      </c>
      <c r="K126">
        <v>500</v>
      </c>
      <c r="L126">
        <v>200</v>
      </c>
      <c r="M126">
        <v>200</v>
      </c>
      <c r="N126">
        <v>500</v>
      </c>
      <c r="O126">
        <v>250</v>
      </c>
      <c r="P126">
        <v>250</v>
      </c>
      <c r="Q126">
        <v>200</v>
      </c>
      <c r="R126">
        <v>200</v>
      </c>
      <c r="S126">
        <v>200</v>
      </c>
      <c r="T126">
        <v>650</v>
      </c>
      <c r="U126">
        <v>250</v>
      </c>
      <c r="V126">
        <v>250</v>
      </c>
      <c r="W126">
        <v>200</v>
      </c>
      <c r="X126">
        <v>500</v>
      </c>
      <c r="Y126">
        <v>500</v>
      </c>
      <c r="Z126">
        <v>650</v>
      </c>
      <c r="AA126">
        <v>200</v>
      </c>
      <c r="AB126">
        <v>200</v>
      </c>
      <c r="AC126">
        <v>200</v>
      </c>
      <c r="AD126">
        <v>200</v>
      </c>
    </row>
    <row r="127" spans="1:56" ht="12.75" dyDescent="0.2" customHeight="1">
      <c r="A127">
        <v>650</v>
      </c>
      <c r="B127">
        <v>650</v>
      </c>
      <c r="C127">
        <v>650</v>
      </c>
      <c r="D127">
        <v>200</v>
      </c>
      <c r="E127">
        <v>150</v>
      </c>
      <c r="F127" s="48">
        <v>150</v>
      </c>
      <c r="G127">
        <v>250</v>
      </c>
      <c r="H127">
        <v>250</v>
      </c>
      <c r="I127">
        <v>200</v>
      </c>
      <c r="J127">
        <v>500</v>
      </c>
      <c r="K127">
        <v>500</v>
      </c>
      <c r="L127">
        <v>200</v>
      </c>
      <c r="M127">
        <v>200</v>
      </c>
      <c r="N127">
        <v>500</v>
      </c>
      <c r="O127">
        <v>250</v>
      </c>
      <c r="P127">
        <v>250</v>
      </c>
      <c r="Q127">
        <v>200</v>
      </c>
      <c r="R127">
        <v>200</v>
      </c>
      <c r="S127">
        <v>200</v>
      </c>
      <c r="T127">
        <v>650</v>
      </c>
      <c r="U127">
        <v>250</v>
      </c>
      <c r="V127">
        <v>250</v>
      </c>
      <c r="W127">
        <v>200</v>
      </c>
      <c r="X127">
        <v>500</v>
      </c>
      <c r="Y127">
        <v>500</v>
      </c>
      <c r="Z127">
        <v>650</v>
      </c>
      <c r="AA127">
        <v>200</v>
      </c>
      <c r="AB127">
        <v>200</v>
      </c>
      <c r="AC127">
        <v>200</v>
      </c>
      <c r="AD127">
        <v>200</v>
      </c>
    </row>
    <row r="128" spans="1:56" ht="12.75" dyDescent="0.2" customHeight="1">
      <c r="A128">
        <v>250</v>
      </c>
      <c r="B128">
        <v>250</v>
      </c>
      <c r="C128">
        <v>250</v>
      </c>
      <c r="D128">
        <v>200</v>
      </c>
      <c r="E128">
        <v>200</v>
      </c>
      <c r="F128">
        <v>200</v>
      </c>
      <c r="G128" s="48">
        <v>150</v>
      </c>
      <c r="H128">
        <v>150</v>
      </c>
      <c r="I128">
        <v>200</v>
      </c>
      <c r="J128">
        <v>500</v>
      </c>
      <c r="K128">
        <v>500</v>
      </c>
      <c r="L128">
        <v>250</v>
      </c>
      <c r="M128">
        <v>250</v>
      </c>
      <c r="N128">
        <v>200</v>
      </c>
      <c r="O128">
        <v>200</v>
      </c>
      <c r="P128">
        <v>150</v>
      </c>
      <c r="Q128">
        <v>250</v>
      </c>
      <c r="R128">
        <v>250</v>
      </c>
      <c r="S128">
        <v>200</v>
      </c>
      <c r="T128">
        <v>500</v>
      </c>
      <c r="U128">
        <v>250</v>
      </c>
      <c r="V128">
        <v>250</v>
      </c>
      <c r="W128">
        <v>500</v>
      </c>
      <c r="X128">
        <v>500</v>
      </c>
      <c r="Y128">
        <v>500</v>
      </c>
      <c r="Z128">
        <v>650</v>
      </c>
      <c r="AA128">
        <v>200</v>
      </c>
      <c r="AB128">
        <v>200</v>
      </c>
      <c r="AC128">
        <v>200</v>
      </c>
      <c r="AD128">
        <v>500</v>
      </c>
    </row>
    <row r="129" spans="1:56" ht="12.75" dyDescent="0.2" customHeight="1">
      <c r="A129">
        <v>250</v>
      </c>
      <c r="B129">
        <v>250</v>
      </c>
      <c r="C129">
        <v>250</v>
      </c>
      <c r="D129">
        <v>200</v>
      </c>
      <c r="E129">
        <v>200</v>
      </c>
      <c r="F129">
        <v>200</v>
      </c>
      <c r="G129">
        <v>150</v>
      </c>
      <c r="H129" s="48">
        <v>150</v>
      </c>
      <c r="I129">
        <v>200</v>
      </c>
      <c r="J129">
        <v>500</v>
      </c>
      <c r="K129">
        <v>500</v>
      </c>
      <c r="L129">
        <v>250</v>
      </c>
      <c r="M129">
        <v>250</v>
      </c>
      <c r="N129">
        <v>200</v>
      </c>
      <c r="O129">
        <v>200</v>
      </c>
      <c r="P129">
        <v>150</v>
      </c>
      <c r="Q129">
        <v>250</v>
      </c>
      <c r="R129">
        <v>250</v>
      </c>
      <c r="S129">
        <v>200</v>
      </c>
      <c r="T129">
        <v>500</v>
      </c>
      <c r="U129">
        <v>250</v>
      </c>
      <c r="V129">
        <v>250</v>
      </c>
      <c r="W129">
        <v>500</v>
      </c>
      <c r="X129">
        <v>500</v>
      </c>
      <c r="Y129">
        <v>500</v>
      </c>
      <c r="Z129">
        <v>650</v>
      </c>
      <c r="AA129">
        <v>200</v>
      </c>
      <c r="AB129">
        <v>200</v>
      </c>
      <c r="AC129">
        <v>200</v>
      </c>
      <c r="AD129">
        <v>500</v>
      </c>
    </row>
    <row r="130" spans="1:56" ht="12.75" dyDescent="0.2" customHeight="1">
      <c r="A130">
        <v>200</v>
      </c>
      <c r="B130">
        <v>200</v>
      </c>
      <c r="C130">
        <v>200</v>
      </c>
      <c r="D130">
        <v>250</v>
      </c>
      <c r="E130">
        <v>200</v>
      </c>
      <c r="F130">
        <v>200</v>
      </c>
      <c r="G130">
        <v>200</v>
      </c>
      <c r="H130">
        <v>200</v>
      </c>
      <c r="I130" s="48">
        <v>150</v>
      </c>
      <c r="J130">
        <v>250</v>
      </c>
      <c r="K130">
        <v>250</v>
      </c>
      <c r="L130">
        <v>650</v>
      </c>
      <c r="M130">
        <v>650</v>
      </c>
      <c r="N130">
        <v>200</v>
      </c>
      <c r="O130">
        <v>250</v>
      </c>
      <c r="P130">
        <v>200</v>
      </c>
      <c r="Q130">
        <v>650</v>
      </c>
      <c r="R130">
        <v>650</v>
      </c>
      <c r="S130">
        <v>250</v>
      </c>
      <c r="T130">
        <v>500</v>
      </c>
      <c r="U130">
        <v>200</v>
      </c>
      <c r="V130">
        <v>200</v>
      </c>
      <c r="W130">
        <v>500</v>
      </c>
      <c r="X130">
        <v>250</v>
      </c>
      <c r="Y130">
        <v>250</v>
      </c>
      <c r="Z130">
        <v>250</v>
      </c>
      <c r="AA130">
        <v>500</v>
      </c>
      <c r="AB130">
        <v>500</v>
      </c>
      <c r="AC130">
        <v>500</v>
      </c>
      <c r="AD130">
        <v>650</v>
      </c>
    </row>
    <row r="131" spans="1:56" ht="12.75" dyDescent="0.2" customHeight="1">
      <c r="A131">
        <v>200</v>
      </c>
      <c r="B131">
        <v>200</v>
      </c>
      <c r="C131">
        <v>200</v>
      </c>
      <c r="D131">
        <v>500</v>
      </c>
      <c r="E131">
        <v>500</v>
      </c>
      <c r="F131">
        <v>500</v>
      </c>
      <c r="G131">
        <v>500</v>
      </c>
      <c r="H131">
        <v>500</v>
      </c>
      <c r="I131">
        <v>250</v>
      </c>
      <c r="J131" s="48">
        <v>150</v>
      </c>
      <c r="K131">
        <v>150</v>
      </c>
      <c r="L131">
        <v>650</v>
      </c>
      <c r="M131">
        <v>650</v>
      </c>
      <c r="N131">
        <v>200</v>
      </c>
      <c r="O131">
        <v>250</v>
      </c>
      <c r="P131">
        <v>500</v>
      </c>
      <c r="Q131">
        <v>650</v>
      </c>
      <c r="R131">
        <v>650</v>
      </c>
      <c r="S131">
        <v>500</v>
      </c>
      <c r="T131">
        <v>200</v>
      </c>
      <c r="U131">
        <v>250</v>
      </c>
      <c r="V131">
        <v>250</v>
      </c>
      <c r="W131">
        <v>650</v>
      </c>
      <c r="X131">
        <v>200</v>
      </c>
      <c r="Y131">
        <v>200</v>
      </c>
      <c r="Z131">
        <v>250</v>
      </c>
      <c r="AA131">
        <v>500</v>
      </c>
      <c r="AB131">
        <v>500</v>
      </c>
      <c r="AC131">
        <v>500</v>
      </c>
      <c r="AD131">
        <v>650</v>
      </c>
    </row>
    <row r="132" spans="1:56" ht="12.75" dyDescent="0.2" customHeight="1">
      <c r="A132">
        <v>200</v>
      </c>
      <c r="B132">
        <v>200</v>
      </c>
      <c r="C132">
        <v>200</v>
      </c>
      <c r="D132">
        <v>500</v>
      </c>
      <c r="E132">
        <v>500</v>
      </c>
      <c r="F132">
        <v>500</v>
      </c>
      <c r="G132">
        <v>500</v>
      </c>
      <c r="H132">
        <v>500</v>
      </c>
      <c r="I132">
        <v>250</v>
      </c>
      <c r="J132">
        <v>150</v>
      </c>
      <c r="K132" s="48">
        <v>150</v>
      </c>
      <c r="L132">
        <v>650</v>
      </c>
      <c r="M132">
        <v>650</v>
      </c>
      <c r="N132">
        <v>200</v>
      </c>
      <c r="O132">
        <v>250</v>
      </c>
      <c r="P132">
        <v>500</v>
      </c>
      <c r="Q132">
        <v>650</v>
      </c>
      <c r="R132">
        <v>650</v>
      </c>
      <c r="S132">
        <v>500</v>
      </c>
      <c r="T132">
        <v>200</v>
      </c>
      <c r="U132">
        <v>250</v>
      </c>
      <c r="V132">
        <v>250</v>
      </c>
      <c r="W132">
        <v>650</v>
      </c>
      <c r="X132">
        <v>200</v>
      </c>
      <c r="Y132">
        <v>200</v>
      </c>
      <c r="Z132">
        <v>250</v>
      </c>
      <c r="AA132">
        <v>500</v>
      </c>
      <c r="AB132">
        <v>500</v>
      </c>
      <c r="AC132">
        <v>500</v>
      </c>
      <c r="AD132">
        <v>650</v>
      </c>
    </row>
    <row r="133" spans="1:56" ht="12.75" dyDescent="0.2" customHeight="1">
      <c r="A133">
        <v>650</v>
      </c>
      <c r="B133">
        <v>650</v>
      </c>
      <c r="C133">
        <v>650</v>
      </c>
      <c r="D133">
        <v>200</v>
      </c>
      <c r="E133">
        <v>200</v>
      </c>
      <c r="F133">
        <v>200</v>
      </c>
      <c r="G133">
        <v>250</v>
      </c>
      <c r="H133">
        <v>250</v>
      </c>
      <c r="I133">
        <v>650</v>
      </c>
      <c r="J133">
        <v>650</v>
      </c>
      <c r="K133">
        <v>650</v>
      </c>
      <c r="L133" s="48">
        <v>150</v>
      </c>
      <c r="M133">
        <v>150</v>
      </c>
      <c r="N133">
        <v>250</v>
      </c>
      <c r="O133">
        <v>250</v>
      </c>
      <c r="P133">
        <v>250</v>
      </c>
      <c r="Q133">
        <v>150</v>
      </c>
      <c r="R133">
        <v>150</v>
      </c>
      <c r="S133">
        <v>200</v>
      </c>
      <c r="T133">
        <v>650</v>
      </c>
      <c r="U133">
        <v>500</v>
      </c>
      <c r="V133">
        <v>500</v>
      </c>
      <c r="W133">
        <v>250</v>
      </c>
      <c r="X133">
        <v>200</v>
      </c>
      <c r="Y133">
        <v>500</v>
      </c>
      <c r="Z133">
        <v>650</v>
      </c>
      <c r="AA133">
        <v>200</v>
      </c>
      <c r="AB133">
        <v>250</v>
      </c>
      <c r="AC133">
        <v>250</v>
      </c>
      <c r="AD133">
        <v>500</v>
      </c>
    </row>
    <row r="134" spans="1:56" ht="12.75" dyDescent="0.2" customHeight="1">
      <c r="A134">
        <v>650</v>
      </c>
      <c r="B134">
        <v>650</v>
      </c>
      <c r="C134">
        <v>650</v>
      </c>
      <c r="D134">
        <v>200</v>
      </c>
      <c r="E134">
        <v>200</v>
      </c>
      <c r="F134">
        <v>200</v>
      </c>
      <c r="G134">
        <v>250</v>
      </c>
      <c r="H134">
        <v>250</v>
      </c>
      <c r="I134">
        <v>650</v>
      </c>
      <c r="J134">
        <v>650</v>
      </c>
      <c r="K134">
        <v>650</v>
      </c>
      <c r="L134">
        <v>150</v>
      </c>
      <c r="M134" s="48">
        <v>150</v>
      </c>
      <c r="N134">
        <v>250</v>
      </c>
      <c r="O134">
        <v>250</v>
      </c>
      <c r="P134">
        <v>250</v>
      </c>
      <c r="Q134">
        <v>150</v>
      </c>
      <c r="R134">
        <v>150</v>
      </c>
      <c r="S134">
        <v>200</v>
      </c>
      <c r="T134">
        <v>650</v>
      </c>
      <c r="U134">
        <v>500</v>
      </c>
      <c r="V134">
        <v>500</v>
      </c>
      <c r="W134">
        <v>250</v>
      </c>
      <c r="X134">
        <v>200</v>
      </c>
      <c r="Y134">
        <v>500</v>
      </c>
      <c r="Z134">
        <v>650</v>
      </c>
      <c r="AA134">
        <v>200</v>
      </c>
      <c r="AB134">
        <v>250</v>
      </c>
      <c r="AC134">
        <v>250</v>
      </c>
      <c r="AD134">
        <v>500</v>
      </c>
    </row>
    <row r="135" spans="1:56" ht="12.75" dyDescent="0.2" customHeight="1">
      <c r="A135">
        <v>200</v>
      </c>
      <c r="B135">
        <v>200</v>
      </c>
      <c r="C135">
        <v>200</v>
      </c>
      <c r="D135">
        <v>250</v>
      </c>
      <c r="E135">
        <v>500</v>
      </c>
      <c r="F135">
        <v>500</v>
      </c>
      <c r="G135">
        <v>200</v>
      </c>
      <c r="H135">
        <v>200</v>
      </c>
      <c r="I135">
        <v>200</v>
      </c>
      <c r="J135">
        <v>200</v>
      </c>
      <c r="K135">
        <v>200</v>
      </c>
      <c r="L135">
        <v>250</v>
      </c>
      <c r="M135">
        <v>250</v>
      </c>
      <c r="N135" s="48">
        <v>150</v>
      </c>
      <c r="O135">
        <v>200</v>
      </c>
      <c r="P135">
        <v>200</v>
      </c>
      <c r="Q135">
        <v>250</v>
      </c>
      <c r="R135">
        <v>250</v>
      </c>
      <c r="S135">
        <v>250</v>
      </c>
      <c r="T135">
        <v>250</v>
      </c>
      <c r="U135">
        <v>200</v>
      </c>
      <c r="V135">
        <v>200</v>
      </c>
      <c r="W135">
        <v>650</v>
      </c>
      <c r="X135">
        <v>200</v>
      </c>
      <c r="Y135">
        <v>200</v>
      </c>
      <c r="Z135">
        <v>500</v>
      </c>
      <c r="AA135">
        <v>500</v>
      </c>
      <c r="AB135">
        <v>650</v>
      </c>
      <c r="AC135">
        <v>650</v>
      </c>
      <c r="AD135">
        <v>650</v>
      </c>
    </row>
    <row r="136" spans="1:56" ht="12.75" dyDescent="0.2" customHeight="1">
      <c r="A136">
        <v>250</v>
      </c>
      <c r="B136">
        <v>250</v>
      </c>
      <c r="C136">
        <v>250</v>
      </c>
      <c r="D136">
        <v>200</v>
      </c>
      <c r="E136">
        <v>250</v>
      </c>
      <c r="F136">
        <v>250</v>
      </c>
      <c r="G136">
        <v>200</v>
      </c>
      <c r="H136">
        <v>200</v>
      </c>
      <c r="I136">
        <v>250</v>
      </c>
      <c r="J136">
        <v>250</v>
      </c>
      <c r="K136">
        <v>250</v>
      </c>
      <c r="L136">
        <v>250</v>
      </c>
      <c r="M136">
        <v>250</v>
      </c>
      <c r="N136">
        <v>200</v>
      </c>
      <c r="O136" s="48">
        <v>150</v>
      </c>
      <c r="P136">
        <v>200</v>
      </c>
      <c r="Q136">
        <v>250</v>
      </c>
      <c r="R136">
        <v>250</v>
      </c>
      <c r="S136">
        <v>200</v>
      </c>
      <c r="T136">
        <v>650</v>
      </c>
      <c r="U136">
        <v>200</v>
      </c>
      <c r="V136">
        <v>200</v>
      </c>
      <c r="W136">
        <v>650</v>
      </c>
      <c r="X136">
        <v>200</v>
      </c>
      <c r="Y136">
        <v>500</v>
      </c>
      <c r="Z136">
        <v>650</v>
      </c>
      <c r="AA136">
        <v>200</v>
      </c>
      <c r="AB136">
        <v>200</v>
      </c>
      <c r="AC136">
        <v>200</v>
      </c>
      <c r="AD136">
        <v>650</v>
      </c>
    </row>
    <row r="137" spans="1:56" ht="12.75" dyDescent="0.2" customHeight="1">
      <c r="A137">
        <v>500</v>
      </c>
      <c r="B137">
        <v>500</v>
      </c>
      <c r="C137">
        <v>500</v>
      </c>
      <c r="D137">
        <v>200</v>
      </c>
      <c r="E137">
        <v>250</v>
      </c>
      <c r="F137">
        <v>250</v>
      </c>
      <c r="G137">
        <v>150</v>
      </c>
      <c r="H137">
        <v>150</v>
      </c>
      <c r="I137">
        <v>200</v>
      </c>
      <c r="J137">
        <v>500</v>
      </c>
      <c r="K137">
        <v>500</v>
      </c>
      <c r="L137">
        <v>250</v>
      </c>
      <c r="M137">
        <v>250</v>
      </c>
      <c r="N137">
        <v>200</v>
      </c>
      <c r="O137">
        <v>200</v>
      </c>
      <c r="P137" s="48">
        <v>150</v>
      </c>
      <c r="Q137">
        <v>150</v>
      </c>
      <c r="R137">
        <v>250</v>
      </c>
      <c r="S137">
        <v>200</v>
      </c>
      <c r="T137">
        <v>500</v>
      </c>
      <c r="U137">
        <v>200</v>
      </c>
      <c r="V137">
        <v>200</v>
      </c>
      <c r="W137">
        <v>500</v>
      </c>
      <c r="X137">
        <v>500</v>
      </c>
      <c r="Y137">
        <v>500</v>
      </c>
      <c r="Z137">
        <v>650</v>
      </c>
      <c r="AA137">
        <v>200</v>
      </c>
      <c r="AB137">
        <v>200</v>
      </c>
      <c r="AC137">
        <v>200</v>
      </c>
      <c r="AD137">
        <v>500</v>
      </c>
    </row>
    <row r="138" spans="1:56" ht="12.75" dyDescent="0.2" customHeight="1">
      <c r="A138">
        <v>650</v>
      </c>
      <c r="B138">
        <v>650</v>
      </c>
      <c r="C138">
        <v>650</v>
      </c>
      <c r="D138">
        <v>200</v>
      </c>
      <c r="E138">
        <v>200</v>
      </c>
      <c r="F138">
        <v>200</v>
      </c>
      <c r="G138">
        <v>250</v>
      </c>
      <c r="H138">
        <v>250</v>
      </c>
      <c r="I138">
        <v>650</v>
      </c>
      <c r="J138">
        <v>650</v>
      </c>
      <c r="K138">
        <v>650</v>
      </c>
      <c r="L138">
        <v>150</v>
      </c>
      <c r="M138">
        <v>150</v>
      </c>
      <c r="N138">
        <v>250</v>
      </c>
      <c r="O138">
        <v>250</v>
      </c>
      <c r="P138">
        <v>150</v>
      </c>
      <c r="Q138" s="48">
        <v>150</v>
      </c>
      <c r="R138">
        <v>150</v>
      </c>
      <c r="S138">
        <v>200</v>
      </c>
      <c r="T138">
        <v>650</v>
      </c>
      <c r="U138">
        <v>500</v>
      </c>
      <c r="V138">
        <v>500</v>
      </c>
      <c r="W138">
        <v>250</v>
      </c>
      <c r="X138">
        <v>200</v>
      </c>
      <c r="Y138">
        <v>500</v>
      </c>
      <c r="Z138">
        <v>650</v>
      </c>
      <c r="AA138">
        <v>200</v>
      </c>
      <c r="AB138">
        <v>250</v>
      </c>
      <c r="AC138">
        <v>250</v>
      </c>
      <c r="AD138">
        <v>500</v>
      </c>
    </row>
    <row r="139" spans="1:56" ht="12.75" dyDescent="0.2" customHeight="1">
      <c r="A139">
        <v>650</v>
      </c>
      <c r="B139">
        <v>650</v>
      </c>
      <c r="C139">
        <v>650</v>
      </c>
      <c r="D139">
        <v>200</v>
      </c>
      <c r="E139">
        <v>200</v>
      </c>
      <c r="F139">
        <v>200</v>
      </c>
      <c r="G139">
        <v>250</v>
      </c>
      <c r="H139">
        <v>250</v>
      </c>
      <c r="I139">
        <v>650</v>
      </c>
      <c r="J139">
        <v>650</v>
      </c>
      <c r="K139">
        <v>650</v>
      </c>
      <c r="L139">
        <v>150</v>
      </c>
      <c r="M139">
        <v>150</v>
      </c>
      <c r="N139">
        <v>250</v>
      </c>
      <c r="O139">
        <v>250</v>
      </c>
      <c r="P139">
        <v>250</v>
      </c>
      <c r="Q139">
        <v>150</v>
      </c>
      <c r="R139" s="48">
        <v>150</v>
      </c>
      <c r="S139">
        <v>200</v>
      </c>
      <c r="T139">
        <v>650</v>
      </c>
      <c r="U139">
        <v>650</v>
      </c>
      <c r="V139">
        <v>650</v>
      </c>
      <c r="W139">
        <v>250</v>
      </c>
      <c r="X139">
        <v>200</v>
      </c>
      <c r="Y139">
        <v>500</v>
      </c>
      <c r="Z139">
        <v>650</v>
      </c>
      <c r="AA139">
        <v>200</v>
      </c>
      <c r="AB139">
        <v>250</v>
      </c>
      <c r="AC139">
        <v>250</v>
      </c>
      <c r="AD139">
        <v>500</v>
      </c>
    </row>
    <row r="140" spans="1:56" ht="12.75" dyDescent="0.2" customHeight="1">
      <c r="A140">
        <v>650</v>
      </c>
      <c r="B140">
        <v>650</v>
      </c>
      <c r="C140">
        <v>650</v>
      </c>
      <c r="D140">
        <v>150</v>
      </c>
      <c r="E140">
        <v>200</v>
      </c>
      <c r="F140">
        <v>200</v>
      </c>
      <c r="G140">
        <v>200</v>
      </c>
      <c r="H140">
        <v>200</v>
      </c>
      <c r="I140">
        <v>250</v>
      </c>
      <c r="J140">
        <v>500</v>
      </c>
      <c r="K140">
        <v>500</v>
      </c>
      <c r="L140">
        <v>200</v>
      </c>
      <c r="M140">
        <v>200</v>
      </c>
      <c r="N140">
        <v>250</v>
      </c>
      <c r="O140">
        <v>200</v>
      </c>
      <c r="P140">
        <v>200</v>
      </c>
      <c r="Q140">
        <v>200</v>
      </c>
      <c r="R140">
        <v>200</v>
      </c>
      <c r="S140" s="48">
        <v>150</v>
      </c>
      <c r="T140">
        <v>650</v>
      </c>
      <c r="U140">
        <v>250</v>
      </c>
      <c r="V140">
        <v>250</v>
      </c>
      <c r="W140">
        <v>200</v>
      </c>
      <c r="X140">
        <v>250</v>
      </c>
      <c r="Y140">
        <v>500</v>
      </c>
      <c r="Z140">
        <v>650</v>
      </c>
      <c r="AA140">
        <v>200</v>
      </c>
      <c r="AB140">
        <v>200</v>
      </c>
      <c r="AC140">
        <v>200</v>
      </c>
      <c r="AD140">
        <v>200</v>
      </c>
    </row>
    <row r="141" spans="1:56" ht="12.75" dyDescent="0.2" customHeight="1">
      <c r="A141">
        <v>200</v>
      </c>
      <c r="B141">
        <v>200</v>
      </c>
      <c r="C141">
        <v>200</v>
      </c>
      <c r="D141">
        <v>650</v>
      </c>
      <c r="E141">
        <v>650</v>
      </c>
      <c r="F141">
        <v>650</v>
      </c>
      <c r="G141">
        <v>500</v>
      </c>
      <c r="H141">
        <v>500</v>
      </c>
      <c r="I141">
        <v>500</v>
      </c>
      <c r="J141">
        <v>200</v>
      </c>
      <c r="K141">
        <v>200</v>
      </c>
      <c r="L141">
        <v>650</v>
      </c>
      <c r="M141">
        <v>650</v>
      </c>
      <c r="N141">
        <v>250</v>
      </c>
      <c r="O141">
        <v>650</v>
      </c>
      <c r="P141">
        <v>500</v>
      </c>
      <c r="Q141">
        <v>650</v>
      </c>
      <c r="R141">
        <v>650</v>
      </c>
      <c r="S141">
        <v>650</v>
      </c>
      <c r="T141" s="48">
        <v>150</v>
      </c>
      <c r="U141">
        <v>500</v>
      </c>
      <c r="V141">
        <v>500</v>
      </c>
      <c r="W141">
        <v>650</v>
      </c>
      <c r="X141">
        <v>250</v>
      </c>
      <c r="Y141">
        <v>200</v>
      </c>
      <c r="Z141">
        <v>200</v>
      </c>
      <c r="AA141">
        <v>500</v>
      </c>
      <c r="AB141">
        <v>500</v>
      </c>
      <c r="AC141">
        <v>500</v>
      </c>
      <c r="AD141">
        <v>650</v>
      </c>
    </row>
    <row r="142" spans="1:56" ht="12.75" dyDescent="0.2" customHeight="1">
      <c r="A142">
        <v>200</v>
      </c>
      <c r="B142">
        <v>200</v>
      </c>
      <c r="C142">
        <v>200</v>
      </c>
      <c r="D142">
        <v>250</v>
      </c>
      <c r="E142">
        <v>250</v>
      </c>
      <c r="F142">
        <v>250</v>
      </c>
      <c r="G142">
        <v>200</v>
      </c>
      <c r="H142">
        <v>200</v>
      </c>
      <c r="I142">
        <v>200</v>
      </c>
      <c r="J142">
        <v>250</v>
      </c>
      <c r="K142">
        <v>250</v>
      </c>
      <c r="L142">
        <v>500</v>
      </c>
      <c r="M142">
        <v>500</v>
      </c>
      <c r="N142">
        <v>200</v>
      </c>
      <c r="O142">
        <v>200</v>
      </c>
      <c r="P142">
        <v>200</v>
      </c>
      <c r="Q142">
        <v>500</v>
      </c>
      <c r="R142">
        <v>500</v>
      </c>
      <c r="S142">
        <v>250</v>
      </c>
      <c r="T142">
        <v>500</v>
      </c>
      <c r="U142" s="48">
        <v>150</v>
      </c>
      <c r="V142">
        <v>150</v>
      </c>
      <c r="W142">
        <v>500</v>
      </c>
      <c r="X142">
        <v>250</v>
      </c>
      <c r="Y142">
        <v>250</v>
      </c>
      <c r="Z142">
        <v>650</v>
      </c>
      <c r="AA142">
        <v>500</v>
      </c>
      <c r="AB142">
        <v>200</v>
      </c>
      <c r="AC142">
        <v>200</v>
      </c>
      <c r="AD142">
        <v>650</v>
      </c>
    </row>
    <row r="143" spans="1:56" ht="12.75" dyDescent="0.2" customHeight="1">
      <c r="A143">
        <v>200</v>
      </c>
      <c r="B143">
        <v>200</v>
      </c>
      <c r="C143">
        <v>200</v>
      </c>
      <c r="D143">
        <v>250</v>
      </c>
      <c r="E143">
        <v>250</v>
      </c>
      <c r="F143">
        <v>250</v>
      </c>
      <c r="G143">
        <v>200</v>
      </c>
      <c r="H143">
        <v>200</v>
      </c>
      <c r="I143">
        <v>200</v>
      </c>
      <c r="J143">
        <v>250</v>
      </c>
      <c r="K143">
        <v>250</v>
      </c>
      <c r="L143">
        <v>500</v>
      </c>
      <c r="M143">
        <v>500</v>
      </c>
      <c r="N143">
        <v>200</v>
      </c>
      <c r="O143">
        <v>200</v>
      </c>
      <c r="P143">
        <v>200</v>
      </c>
      <c r="Q143">
        <v>500</v>
      </c>
      <c r="R143">
        <v>500</v>
      </c>
      <c r="S143">
        <v>250</v>
      </c>
      <c r="T143">
        <v>500</v>
      </c>
      <c r="U143">
        <v>150</v>
      </c>
      <c r="V143" s="48">
        <v>150</v>
      </c>
      <c r="W143">
        <v>500</v>
      </c>
      <c r="X143">
        <v>250</v>
      </c>
      <c r="Y143">
        <v>250</v>
      </c>
      <c r="Z143">
        <v>650</v>
      </c>
      <c r="AA143">
        <v>500</v>
      </c>
      <c r="AB143">
        <v>200</v>
      </c>
      <c r="AC143">
        <v>200</v>
      </c>
      <c r="AD143">
        <v>650</v>
      </c>
    </row>
    <row r="144" spans="1:56" ht="12.75" dyDescent="0.2" customHeight="1">
      <c r="A144">
        <v>650</v>
      </c>
      <c r="B144">
        <v>650</v>
      </c>
      <c r="C144">
        <v>650</v>
      </c>
      <c r="D144">
        <v>200</v>
      </c>
      <c r="E144">
        <v>200</v>
      </c>
      <c r="F144">
        <v>200</v>
      </c>
      <c r="G144">
        <v>500</v>
      </c>
      <c r="H144">
        <v>500</v>
      </c>
      <c r="I144">
        <v>500</v>
      </c>
      <c r="J144">
        <v>650</v>
      </c>
      <c r="K144">
        <v>650</v>
      </c>
      <c r="L144">
        <v>250</v>
      </c>
      <c r="M144">
        <v>250</v>
      </c>
      <c r="N144">
        <v>650</v>
      </c>
      <c r="O144">
        <v>650</v>
      </c>
      <c r="P144">
        <v>500</v>
      </c>
      <c r="Q144">
        <v>250</v>
      </c>
      <c r="R144">
        <v>250</v>
      </c>
      <c r="S144">
        <v>200</v>
      </c>
      <c r="T144">
        <v>650</v>
      </c>
      <c r="U144">
        <v>500</v>
      </c>
      <c r="V144">
        <v>500</v>
      </c>
      <c r="W144" s="48">
        <v>150</v>
      </c>
      <c r="X144">
        <v>500</v>
      </c>
      <c r="Y144">
        <v>650</v>
      </c>
      <c r="Z144">
        <v>650</v>
      </c>
      <c r="AA144">
        <v>250</v>
      </c>
      <c r="AB144">
        <v>200</v>
      </c>
      <c r="AC144">
        <v>200</v>
      </c>
      <c r="AD144">
        <v>200</v>
      </c>
    </row>
    <row r="145" spans="1:56" ht="12.75" dyDescent="0.2" customHeight="1">
      <c r="A145">
        <v>250</v>
      </c>
      <c r="B145">
        <v>250</v>
      </c>
      <c r="C145">
        <v>250</v>
      </c>
      <c r="D145">
        <v>250</v>
      </c>
      <c r="E145">
        <v>500</v>
      </c>
      <c r="F145">
        <v>500</v>
      </c>
      <c r="G145">
        <v>500</v>
      </c>
      <c r="H145">
        <v>500</v>
      </c>
      <c r="I145">
        <v>250</v>
      </c>
      <c r="J145">
        <v>200</v>
      </c>
      <c r="K145">
        <v>200</v>
      </c>
      <c r="L145">
        <v>200</v>
      </c>
      <c r="M145">
        <v>200</v>
      </c>
      <c r="N145">
        <v>200</v>
      </c>
      <c r="O145">
        <v>200</v>
      </c>
      <c r="P145">
        <v>500</v>
      </c>
      <c r="Q145">
        <v>200</v>
      </c>
      <c r="R145">
        <v>200</v>
      </c>
      <c r="S145">
        <v>250</v>
      </c>
      <c r="T145">
        <v>250</v>
      </c>
      <c r="U145">
        <v>250</v>
      </c>
      <c r="V145">
        <v>250</v>
      </c>
      <c r="W145">
        <v>500</v>
      </c>
      <c r="X145" s="48">
        <v>150</v>
      </c>
      <c r="Y145">
        <v>200</v>
      </c>
      <c r="Z145">
        <v>500</v>
      </c>
      <c r="AA145">
        <v>200</v>
      </c>
      <c r="AB145">
        <v>500</v>
      </c>
      <c r="AC145">
        <v>500</v>
      </c>
      <c r="AD145">
        <v>650</v>
      </c>
    </row>
    <row r="146" spans="1:56" ht="12.75" dyDescent="0.2" customHeight="1">
      <c r="A146">
        <v>200</v>
      </c>
      <c r="B146">
        <v>200</v>
      </c>
      <c r="C146">
        <v>200</v>
      </c>
      <c r="D146">
        <v>500</v>
      </c>
      <c r="E146">
        <v>500</v>
      </c>
      <c r="F146">
        <v>500</v>
      </c>
      <c r="G146">
        <v>500</v>
      </c>
      <c r="H146">
        <v>500</v>
      </c>
      <c r="I146">
        <v>250</v>
      </c>
      <c r="J146">
        <v>200</v>
      </c>
      <c r="K146">
        <v>200</v>
      </c>
      <c r="L146">
        <v>500</v>
      </c>
      <c r="M146">
        <v>500</v>
      </c>
      <c r="N146">
        <v>200</v>
      </c>
      <c r="O146">
        <v>500</v>
      </c>
      <c r="P146">
        <v>500</v>
      </c>
      <c r="Q146">
        <v>500</v>
      </c>
      <c r="R146">
        <v>500</v>
      </c>
      <c r="S146">
        <v>500</v>
      </c>
      <c r="T146">
        <v>200</v>
      </c>
      <c r="U146">
        <v>250</v>
      </c>
      <c r="V146">
        <v>250</v>
      </c>
      <c r="W146">
        <v>650</v>
      </c>
      <c r="X146">
        <v>200</v>
      </c>
      <c r="Y146" s="48">
        <v>150</v>
      </c>
      <c r="Z146">
        <v>250</v>
      </c>
      <c r="AA146">
        <v>500</v>
      </c>
      <c r="AB146">
        <v>500</v>
      </c>
      <c r="AC146">
        <v>500</v>
      </c>
      <c r="AD146">
        <v>650</v>
      </c>
    </row>
    <row r="147" spans="1:56" ht="12.75" dyDescent="0.2" customHeight="1">
      <c r="A147">
        <v>200</v>
      </c>
      <c r="B147">
        <v>200</v>
      </c>
      <c r="C147">
        <v>200</v>
      </c>
      <c r="D147">
        <v>650</v>
      </c>
      <c r="E147">
        <v>650</v>
      </c>
      <c r="F147">
        <v>650</v>
      </c>
      <c r="G147">
        <v>650</v>
      </c>
      <c r="H147">
        <v>650</v>
      </c>
      <c r="I147">
        <v>250</v>
      </c>
      <c r="J147">
        <v>250</v>
      </c>
      <c r="K147">
        <v>250</v>
      </c>
      <c r="L147">
        <v>650</v>
      </c>
      <c r="M147">
        <v>650</v>
      </c>
      <c r="N147">
        <v>500</v>
      </c>
      <c r="O147">
        <v>650</v>
      </c>
      <c r="P147">
        <v>650</v>
      </c>
      <c r="Q147">
        <v>650</v>
      </c>
      <c r="R147">
        <v>650</v>
      </c>
      <c r="S147">
        <v>650</v>
      </c>
      <c r="T147">
        <v>200</v>
      </c>
      <c r="U147">
        <v>650</v>
      </c>
      <c r="V147">
        <v>650</v>
      </c>
      <c r="W147">
        <v>650</v>
      </c>
      <c r="X147">
        <v>500</v>
      </c>
      <c r="Y147">
        <v>250</v>
      </c>
      <c r="Z147" s="48">
        <v>150</v>
      </c>
      <c r="AA147">
        <v>650</v>
      </c>
      <c r="AB147">
        <v>650</v>
      </c>
      <c r="AC147">
        <v>650</v>
      </c>
      <c r="AD147">
        <v>650</v>
      </c>
    </row>
    <row r="148" spans="1:56" ht="12.75" dyDescent="0.2" customHeight="1">
      <c r="A148">
        <v>200</v>
      </c>
      <c r="B148">
        <v>200</v>
      </c>
      <c r="C148">
        <v>200</v>
      </c>
      <c r="D148">
        <v>200</v>
      </c>
      <c r="E148">
        <v>200</v>
      </c>
      <c r="F148">
        <v>200</v>
      </c>
      <c r="G148">
        <v>200</v>
      </c>
      <c r="H148">
        <v>200</v>
      </c>
      <c r="I148">
        <v>500</v>
      </c>
      <c r="J148">
        <v>500</v>
      </c>
      <c r="K148">
        <v>500</v>
      </c>
      <c r="L148">
        <v>200</v>
      </c>
      <c r="M148">
        <v>200</v>
      </c>
      <c r="N148">
        <v>500</v>
      </c>
      <c r="O148">
        <v>200</v>
      </c>
      <c r="P148">
        <v>200</v>
      </c>
      <c r="Q148">
        <v>200</v>
      </c>
      <c r="R148">
        <v>200</v>
      </c>
      <c r="S148">
        <v>200</v>
      </c>
      <c r="T148">
        <v>500</v>
      </c>
      <c r="U148">
        <v>500</v>
      </c>
      <c r="V148">
        <v>500</v>
      </c>
      <c r="W148">
        <v>250</v>
      </c>
      <c r="X148">
        <v>200</v>
      </c>
      <c r="Y148">
        <v>500</v>
      </c>
      <c r="Z148">
        <v>650</v>
      </c>
      <c r="AA148" s="48">
        <v>150</v>
      </c>
      <c r="AB148">
        <v>200</v>
      </c>
      <c r="AC148">
        <v>200</v>
      </c>
      <c r="AD148">
        <v>250</v>
      </c>
    </row>
    <row r="149" spans="1:56" ht="12.75" dyDescent="0.2" customHeight="1">
      <c r="A149">
        <v>500</v>
      </c>
      <c r="B149">
        <v>500</v>
      </c>
      <c r="C149">
        <v>500</v>
      </c>
      <c r="D149">
        <v>200</v>
      </c>
      <c r="E149">
        <v>200</v>
      </c>
      <c r="F149">
        <v>200</v>
      </c>
      <c r="G149">
        <v>200</v>
      </c>
      <c r="H149">
        <v>200</v>
      </c>
      <c r="I149">
        <v>500</v>
      </c>
      <c r="J149">
        <v>500</v>
      </c>
      <c r="K149">
        <v>500</v>
      </c>
      <c r="L149">
        <v>250</v>
      </c>
      <c r="M149">
        <v>250</v>
      </c>
      <c r="N149">
        <v>650</v>
      </c>
      <c r="O149">
        <v>200</v>
      </c>
      <c r="P149">
        <v>200</v>
      </c>
      <c r="Q149">
        <v>250</v>
      </c>
      <c r="R149">
        <v>250</v>
      </c>
      <c r="S149">
        <v>200</v>
      </c>
      <c r="T149">
        <v>500</v>
      </c>
      <c r="U149">
        <v>200</v>
      </c>
      <c r="V149">
        <v>200</v>
      </c>
      <c r="W149">
        <v>200</v>
      </c>
      <c r="X149">
        <v>500</v>
      </c>
      <c r="Y149">
        <v>500</v>
      </c>
      <c r="Z149">
        <v>650</v>
      </c>
      <c r="AA149">
        <v>200</v>
      </c>
      <c r="AB149" s="48">
        <v>150</v>
      </c>
      <c r="AC149">
        <v>150</v>
      </c>
      <c r="AD149">
        <v>250</v>
      </c>
    </row>
    <row r="150" spans="1:56" ht="12.75" dyDescent="0.2" customHeight="1">
      <c r="A150">
        <v>500</v>
      </c>
      <c r="B150">
        <v>500</v>
      </c>
      <c r="C150">
        <v>500</v>
      </c>
      <c r="D150">
        <v>200</v>
      </c>
      <c r="E150">
        <v>200</v>
      </c>
      <c r="F150">
        <v>200</v>
      </c>
      <c r="G150">
        <v>200</v>
      </c>
      <c r="H150">
        <v>200</v>
      </c>
      <c r="I150">
        <v>500</v>
      </c>
      <c r="J150">
        <v>500</v>
      </c>
      <c r="K150">
        <v>500</v>
      </c>
      <c r="L150">
        <v>250</v>
      </c>
      <c r="M150">
        <v>250</v>
      </c>
      <c r="N150">
        <v>650</v>
      </c>
      <c r="O150">
        <v>200</v>
      </c>
      <c r="P150">
        <v>200</v>
      </c>
      <c r="Q150">
        <v>250</v>
      </c>
      <c r="R150">
        <v>250</v>
      </c>
      <c r="S150">
        <v>200</v>
      </c>
      <c r="T150">
        <v>500</v>
      </c>
      <c r="U150">
        <v>200</v>
      </c>
      <c r="V150">
        <v>200</v>
      </c>
      <c r="W150">
        <v>200</v>
      </c>
      <c r="X150">
        <v>500</v>
      </c>
      <c r="Y150">
        <v>500</v>
      </c>
      <c r="Z150">
        <v>650</v>
      </c>
      <c r="AA150">
        <v>200</v>
      </c>
      <c r="AB150">
        <v>150</v>
      </c>
      <c r="AC150" s="48">
        <v>150</v>
      </c>
      <c r="AD150">
        <v>250</v>
      </c>
    </row>
    <row r="151" spans="1:56" ht="12.75" dyDescent="0.2" customHeight="1">
      <c r="A151">
        <v>650</v>
      </c>
      <c r="B151">
        <v>650</v>
      </c>
      <c r="C151">
        <v>650</v>
      </c>
      <c r="D151">
        <v>200</v>
      </c>
      <c r="E151">
        <v>200</v>
      </c>
      <c r="F151">
        <v>200</v>
      </c>
      <c r="G151">
        <v>500</v>
      </c>
      <c r="H151">
        <v>500</v>
      </c>
      <c r="I151">
        <v>650</v>
      </c>
      <c r="J151">
        <v>650</v>
      </c>
      <c r="K151">
        <v>650</v>
      </c>
      <c r="L151">
        <v>500</v>
      </c>
      <c r="M151">
        <v>500</v>
      </c>
      <c r="N151">
        <v>650</v>
      </c>
      <c r="O151">
        <v>650</v>
      </c>
      <c r="P151">
        <v>500</v>
      </c>
      <c r="Q151">
        <v>500</v>
      </c>
      <c r="R151">
        <v>500</v>
      </c>
      <c r="S151">
        <v>200</v>
      </c>
      <c r="T151">
        <v>650</v>
      </c>
      <c r="U151">
        <v>650</v>
      </c>
      <c r="V151">
        <v>650</v>
      </c>
      <c r="W151">
        <v>200</v>
      </c>
      <c r="X151">
        <v>650</v>
      </c>
      <c r="Y151">
        <v>650</v>
      </c>
      <c r="Z151">
        <v>650</v>
      </c>
      <c r="AA151">
        <v>250</v>
      </c>
      <c r="AB151">
        <v>250</v>
      </c>
      <c r="AC151">
        <v>250</v>
      </c>
      <c r="AD151" s="48">
        <v>150</v>
      </c>
    </row>
    <row r="153" spans="1:56" ht="12.75" dyDescent="0.2" customHeight="1">
      <c r="A153" s="4"/>
      <c r="B153" s="55"/>
      <c r="C153" s="55"/>
      <c r="D153" s="55"/>
    </row>
    <row r="154" spans="1:56" ht="12.75" dyDescent="0.2" customHeight="1">
      <c r="A154" s="38"/>
      <c r="B154" s="42"/>
      <c r="C154" s="42"/>
      <c r="D154" s="42"/>
      <c r="E154" s="42"/>
      <c r="F154" s="42"/>
      <c r="G154" s="9"/>
      <c r="I154" s="9"/>
    </row>
    <row r="155" spans="1:56" ht="12.75" dyDescent="0.2" customHeight="1">
      <c r="A155" s="4">
        <v>1</v>
      </c>
      <c r="B155" s="4">
        <v>1.18E-4</v>
      </c>
      <c r="C155" s="4">
        <v>2.3599999999999999E-4</v>
      </c>
      <c r="D155" s="4">
        <v>5.9000000000000003E-4</v>
      </c>
      <c r="E155" s="4">
        <v>1.1800000000000001E-3</v>
      </c>
      <c r="F155" s="4">
        <v>2.3600000000000001E-3</v>
      </c>
      <c r="G155" s="9">
        <v>1</v>
      </c>
      <c r="I155" s="9"/>
    </row>
    <row r="156" spans="1:56" ht="12.75" dyDescent="0.2" customHeight="1">
      <c r="A156" s="49">
        <v>2</v>
      </c>
      <c r="B156" s="4">
        <v>1.27E-4</v>
      </c>
      <c r="C156" s="4">
        <v>2.5399999999999999E-4</v>
      </c>
      <c r="D156" s="4">
        <v>6.3500000000000004E-4</v>
      </c>
      <c r="E156" s="4">
        <v>1.2700000000000001E-3</v>
      </c>
      <c r="F156" s="4">
        <v>2.5400000000000002E-3</v>
      </c>
      <c r="G156" s="9">
        <v>2</v>
      </c>
      <c r="I156" s="9"/>
    </row>
    <row r="157" spans="1:56" ht="12.75" dyDescent="0.2" customHeight="1">
      <c r="A157" s="49">
        <v>3</v>
      </c>
      <c r="B157" s="4">
        <v>1.27E-4</v>
      </c>
      <c r="C157" s="4">
        <v>2.5399999999999999E-4</v>
      </c>
      <c r="D157" s="4">
        <v>6.3500000000000004E-4</v>
      </c>
      <c r="E157" s="4">
        <v>1.2700000000000001E-3</v>
      </c>
      <c r="F157" s="4">
        <v>2.5400000000000002E-3</v>
      </c>
      <c r="G157" s="9">
        <v>3</v>
      </c>
      <c r="I157" s="9"/>
    </row>
    <row r="158" spans="1:56" ht="12.75" dyDescent="0.2" customHeight="1">
      <c r="A158" s="4">
        <v>4</v>
      </c>
      <c r="B158" s="4">
        <v>1.18E-4</v>
      </c>
      <c r="C158" s="4">
        <v>2.3599999999999999E-4</v>
      </c>
      <c r="D158" s="4">
        <v>5.9000000000000003E-4</v>
      </c>
      <c r="E158" s="4">
        <v>1.1800000000000001E-3</v>
      </c>
      <c r="F158" s="4">
        <v>2.3600000000000001E-3</v>
      </c>
      <c r="G158" s="9">
        <v>4</v>
      </c>
      <c r="I158" s="50"/>
    </row>
    <row r="159" spans="1:56" ht="12.75" dyDescent="0.2" customHeight="1">
      <c r="A159" s="4">
        <v>5</v>
      </c>
      <c r="B159" s="4">
        <v>1.18E-4</v>
      </c>
      <c r="C159" s="4">
        <v>2.3599999999999999E-4</v>
      </c>
      <c r="D159" s="4">
        <v>5.9000000000000003E-4</v>
      </c>
      <c r="E159" s="4">
        <v>1.1800000000000001E-3</v>
      </c>
      <c r="F159" s="4">
        <v>2.3600000000000001E-3</v>
      </c>
      <c r="G159" s="9">
        <v>5</v>
      </c>
      <c r="I159" s="9"/>
    </row>
    <row r="160" spans="1:56" ht="12.75" dyDescent="0.2" customHeight="1">
      <c r="A160" s="49">
        <v>6</v>
      </c>
      <c r="B160" s="4">
        <v>1.27E-4</v>
      </c>
      <c r="C160" s="4">
        <v>2.5399999999999999E-4</v>
      </c>
      <c r="D160" s="4">
        <v>6.3500000000000004E-4</v>
      </c>
      <c r="E160" s="4">
        <v>1.2700000000000001E-3</v>
      </c>
      <c r="F160" s="4">
        <v>2.5400000000000002E-3</v>
      </c>
      <c r="G160" s="9">
        <v>5</v>
      </c>
      <c r="I160" s="9"/>
    </row>
    <row r="161" spans="1:56" ht="12.75" dyDescent="0.2" customHeight="1">
      <c r="A161" s="4">
        <v>7</v>
      </c>
      <c r="B161" s="4">
        <v>1.18E-4</v>
      </c>
      <c r="C161" s="4">
        <v>2.3599999999999999E-4</v>
      </c>
      <c r="D161" s="4">
        <v>5.9000000000000003E-4</v>
      </c>
      <c r="E161" s="4">
        <v>1.1800000000000001E-3</v>
      </c>
      <c r="F161" s="4">
        <v>2.3600000000000001E-3</v>
      </c>
      <c r="G161" s="9">
        <v>6</v>
      </c>
      <c r="I161" s="9"/>
    </row>
    <row r="162" spans="1:56" ht="12.75" dyDescent="0.2" customHeight="1">
      <c r="A162" s="49">
        <v>8</v>
      </c>
      <c r="B162" s="4">
        <v>1.27E-4</v>
      </c>
      <c r="C162" s="4">
        <v>2.5399999999999999E-4</v>
      </c>
      <c r="D162" s="4">
        <v>6.3500000000000004E-4</v>
      </c>
      <c r="E162" s="4">
        <v>1.2700000000000001E-3</v>
      </c>
      <c r="F162" s="4">
        <v>2.5400000000000002E-3</v>
      </c>
      <c r="G162" s="9">
        <v>6</v>
      </c>
      <c r="I162" s="9"/>
    </row>
    <row r="163" spans="1:56" ht="12.75" dyDescent="0.2" customHeight="1">
      <c r="A163" s="49">
        <v>9</v>
      </c>
      <c r="B163" s="4">
        <v>1.27E-4</v>
      </c>
      <c r="C163" s="4">
        <v>2.5399999999999999E-4</v>
      </c>
      <c r="D163" s="4">
        <v>6.3500000000000004E-4</v>
      </c>
      <c r="E163" s="4">
        <v>1.2700000000000001E-3</v>
      </c>
      <c r="F163" s="4">
        <v>2.5400000000000002E-3</v>
      </c>
      <c r="G163" s="9">
        <v>7</v>
      </c>
      <c r="I163" s="9"/>
    </row>
    <row r="164" spans="1:56" ht="12.75" dyDescent="0.2" customHeight="1">
      <c r="A164" s="4">
        <v>10</v>
      </c>
      <c r="B164" s="4">
        <v>1.18E-4</v>
      </c>
      <c r="C164" s="4">
        <v>2.3599999999999999E-4</v>
      </c>
      <c r="D164" s="4">
        <v>5.9000000000000003E-4</v>
      </c>
      <c r="E164" s="4">
        <v>1.1800000000000001E-3</v>
      </c>
      <c r="F164" s="4">
        <v>2.3600000000000001E-3</v>
      </c>
      <c r="G164" s="9">
        <v>8</v>
      </c>
      <c r="I164" s="9"/>
    </row>
    <row r="165" spans="1:56" ht="12.75" dyDescent="0.2" customHeight="1">
      <c r="A165" s="49">
        <v>11</v>
      </c>
      <c r="B165" s="4">
        <v>1.27E-4</v>
      </c>
      <c r="C165" s="4">
        <v>2.5399999999999999E-4</v>
      </c>
      <c r="D165" s="4">
        <v>6.3500000000000004E-4</v>
      </c>
      <c r="E165" s="4">
        <v>1.2700000000000001E-3</v>
      </c>
      <c r="F165" s="4">
        <v>2.5400000000000002E-3</v>
      </c>
      <c r="G165" s="9">
        <v>8</v>
      </c>
      <c r="I165" s="9"/>
    </row>
    <row r="166" spans="1:56" ht="12.75" dyDescent="0.2" customHeight="1">
      <c r="A166" s="4">
        <v>12</v>
      </c>
      <c r="B166" s="4">
        <v>1.18E-4</v>
      </c>
      <c r="C166" s="4">
        <v>2.3599999999999999E-4</v>
      </c>
      <c r="D166" s="4">
        <v>5.9000000000000003E-4</v>
      </c>
      <c r="E166" s="4">
        <v>1.1800000000000001E-3</v>
      </c>
      <c r="F166" s="4">
        <v>2.3600000000000001E-3</v>
      </c>
      <c r="G166" s="9">
        <v>9</v>
      </c>
      <c r="I166" s="9"/>
    </row>
    <row r="167" spans="1:56" ht="12.75" dyDescent="0.2" customHeight="1">
      <c r="A167" s="49">
        <v>13</v>
      </c>
      <c r="B167" s="4">
        <v>1.27E-4</v>
      </c>
      <c r="C167" s="4">
        <v>2.5399999999999999E-4</v>
      </c>
      <c r="D167" s="4">
        <v>6.3500000000000004E-4</v>
      </c>
      <c r="E167" s="4">
        <v>1.2700000000000001E-3</v>
      </c>
      <c r="F167" s="4">
        <v>2.5400000000000002E-3</v>
      </c>
      <c r="G167" s="9">
        <v>9</v>
      </c>
      <c r="I167" s="9"/>
    </row>
    <row r="168" spans="1:56" ht="12.75" dyDescent="0.2" customHeight="1">
      <c r="A168" s="49">
        <v>14</v>
      </c>
      <c r="B168" s="4">
        <v>1.27E-4</v>
      </c>
      <c r="C168" s="4">
        <v>2.5399999999999999E-4</v>
      </c>
      <c r="D168" s="4">
        <v>6.3500000000000004E-4</v>
      </c>
      <c r="E168" s="4">
        <v>1.2700000000000001E-3</v>
      </c>
      <c r="F168" s="4">
        <v>2.5400000000000002E-3</v>
      </c>
      <c r="G168" s="9">
        <v>10</v>
      </c>
      <c r="I168" s="9"/>
    </row>
    <row r="169" spans="1:56" ht="12.75" dyDescent="0.2" customHeight="1">
      <c r="A169" s="49">
        <v>15</v>
      </c>
      <c r="B169" s="4">
        <v>1.27E-4</v>
      </c>
      <c r="C169" s="4">
        <v>2.5399999999999999E-4</v>
      </c>
      <c r="D169" s="4">
        <v>6.3500000000000004E-4</v>
      </c>
      <c r="E169" s="4">
        <v>1.2700000000000001E-3</v>
      </c>
      <c r="F169" s="4">
        <v>2.5400000000000002E-3</v>
      </c>
      <c r="G169" s="9">
        <v>11</v>
      </c>
      <c r="I169" s="9"/>
    </row>
    <row r="170" spans="1:56" ht="12.75" dyDescent="0.2" customHeight="1">
      <c r="A170" s="4">
        <v>16</v>
      </c>
      <c r="B170" s="4">
        <v>1.18E-4</v>
      </c>
      <c r="C170" s="4">
        <v>2.3599999999999999E-4</v>
      </c>
      <c r="D170" s="4">
        <v>5.9000000000000003E-4</v>
      </c>
      <c r="E170" s="4">
        <v>1.1800000000000001E-3</v>
      </c>
      <c r="F170" s="4">
        <v>2.3600000000000001E-3</v>
      </c>
      <c r="G170" s="9">
        <v>12</v>
      </c>
      <c r="I170" s="9"/>
    </row>
    <row r="171" spans="1:56" ht="12.75" dyDescent="0.2" customHeight="1">
      <c r="A171" s="49">
        <v>17</v>
      </c>
      <c r="B171" s="4">
        <v>1.27E-4</v>
      </c>
      <c r="C171" s="4">
        <v>2.5399999999999999E-4</v>
      </c>
      <c r="D171" s="4">
        <v>6.3500000000000004E-4</v>
      </c>
      <c r="E171" s="4">
        <v>1.2700000000000001E-3</v>
      </c>
      <c r="F171" s="4">
        <v>2.5400000000000002E-3</v>
      </c>
      <c r="G171" s="9">
        <v>13</v>
      </c>
      <c r="I171" s="9"/>
    </row>
    <row r="172" spans="1:56" ht="12.75" dyDescent="0.2" customHeight="1">
      <c r="A172" s="49">
        <v>18</v>
      </c>
      <c r="B172" s="4">
        <v>1.27E-4</v>
      </c>
      <c r="C172" s="4">
        <v>2.5399999999999999E-4</v>
      </c>
      <c r="D172" s="4">
        <v>6.3500000000000004E-4</v>
      </c>
      <c r="E172" s="4">
        <v>1.2700000000000001E-3</v>
      </c>
      <c r="F172" s="4">
        <v>2.5400000000000002E-3</v>
      </c>
      <c r="G172" s="9">
        <v>14</v>
      </c>
      <c r="I172" s="9"/>
    </row>
    <row r="173" spans="1:56" ht="12.75" dyDescent="0.2" customHeight="1">
      <c r="A173" s="49">
        <v>19</v>
      </c>
      <c r="B173" s="4">
        <v>1.27E-4</v>
      </c>
      <c r="C173" s="4">
        <v>2.5399999999999999E-4</v>
      </c>
      <c r="D173" s="4">
        <v>6.3500000000000004E-4</v>
      </c>
      <c r="E173" s="4">
        <v>1.2700000000000001E-3</v>
      </c>
      <c r="F173" s="4">
        <v>2.5400000000000002E-3</v>
      </c>
      <c r="G173" s="9">
        <v>15</v>
      </c>
      <c r="I173" s="9"/>
    </row>
    <row r="174" spans="1:56" ht="12.75" dyDescent="0.2" customHeight="1">
      <c r="A174" s="49">
        <v>20</v>
      </c>
      <c r="B174" s="4">
        <v>1.27E-4</v>
      </c>
      <c r="C174" s="4">
        <v>2.5399999999999999E-4</v>
      </c>
      <c r="D174" s="4">
        <v>6.3500000000000004E-4</v>
      </c>
      <c r="E174" s="4">
        <v>1.2700000000000001E-3</v>
      </c>
      <c r="F174" s="4">
        <v>2.5400000000000002E-3</v>
      </c>
      <c r="G174" s="9">
        <v>16</v>
      </c>
      <c r="I174" s="9"/>
    </row>
    <row r="175" spans="1:56" ht="12.75" dyDescent="0.2" customHeight="1">
      <c r="A175" s="4">
        <v>21</v>
      </c>
      <c r="B175" s="4">
        <v>1.18E-4</v>
      </c>
      <c r="C175" s="4">
        <v>2.3599999999999999E-4</v>
      </c>
      <c r="D175" s="4">
        <v>5.9000000000000003E-4</v>
      </c>
      <c r="E175" s="4">
        <v>1.1800000000000001E-3</v>
      </c>
      <c r="F175" s="4">
        <v>2.3600000000000001E-3</v>
      </c>
      <c r="G175" s="9">
        <v>17</v>
      </c>
      <c r="I175" s="9"/>
    </row>
    <row r="176" spans="1:56" ht="12.75" dyDescent="0.2" customHeight="1">
      <c r="A176" s="49">
        <v>22</v>
      </c>
      <c r="B176" s="4">
        <v>1.27E-4</v>
      </c>
      <c r="C176" s="4">
        <v>2.5399999999999999E-4</v>
      </c>
      <c r="D176" s="4">
        <v>6.3500000000000004E-4</v>
      </c>
      <c r="E176" s="4">
        <v>1.2700000000000001E-3</v>
      </c>
      <c r="F176" s="4">
        <v>2.5400000000000002E-3</v>
      </c>
      <c r="G176" s="9">
        <v>17</v>
      </c>
      <c r="I176" s="9"/>
    </row>
    <row r="177" spans="1:56" ht="12.75" dyDescent="0.2" customHeight="1">
      <c r="A177" s="49">
        <v>23</v>
      </c>
      <c r="B177" s="4">
        <v>1.27E-4</v>
      </c>
      <c r="C177" s="4">
        <v>2.5399999999999999E-4</v>
      </c>
      <c r="D177" s="4">
        <v>6.3500000000000004E-4</v>
      </c>
      <c r="E177" s="4">
        <v>1.2700000000000001E-3</v>
      </c>
      <c r="F177" s="4">
        <v>2.5400000000000002E-3</v>
      </c>
      <c r="G177" s="9">
        <v>18</v>
      </c>
      <c r="I177" s="9"/>
    </row>
    <row r="178" spans="1:56" ht="12.75" dyDescent="0.2" customHeight="1">
      <c r="A178" s="49">
        <v>24</v>
      </c>
      <c r="B178" s="4">
        <v>1.27E-4</v>
      </c>
      <c r="C178" s="4">
        <v>2.5399999999999999E-4</v>
      </c>
      <c r="D178" s="4">
        <v>6.3500000000000004E-4</v>
      </c>
      <c r="E178" s="4">
        <v>1.2700000000000001E-3</v>
      </c>
      <c r="F178" s="4">
        <v>2.5400000000000002E-3</v>
      </c>
      <c r="G178" s="9">
        <v>19</v>
      </c>
      <c r="I178" s="9"/>
    </row>
    <row r="179" spans="1:56" ht="12.75" dyDescent="0.2" customHeight="1">
      <c r="A179" s="4">
        <v>25</v>
      </c>
      <c r="B179" s="4">
        <v>1.18E-4</v>
      </c>
      <c r="C179" s="4">
        <v>2.3599999999999999E-4</v>
      </c>
      <c r="D179" s="4">
        <v>5.9000000000000003E-4</v>
      </c>
      <c r="E179" s="4">
        <v>1.1800000000000001E-3</v>
      </c>
      <c r="F179" s="4">
        <v>2.3600000000000001E-3</v>
      </c>
      <c r="G179" s="9">
        <v>20</v>
      </c>
    </row>
    <row r="180" spans="1:56" ht="12.75" dyDescent="0.2" customHeight="1">
      <c r="A180" s="4">
        <v>26</v>
      </c>
      <c r="B180" s="4">
        <v>1.18E-4</v>
      </c>
      <c r="C180" s="4">
        <v>2.3599999999999999E-4</v>
      </c>
      <c r="D180" s="4">
        <v>5.9000000000000003E-4</v>
      </c>
      <c r="E180" s="4">
        <v>1.1800000000000001E-3</v>
      </c>
      <c r="F180" s="4">
        <v>2.3600000000000001E-3</v>
      </c>
      <c r="G180" s="9">
        <v>21</v>
      </c>
    </row>
    <row r="181" spans="1:56" ht="12.75" dyDescent="0.2" customHeight="1">
      <c r="A181" s="49">
        <v>27</v>
      </c>
      <c r="B181" s="4">
        <v>1.27E-4</v>
      </c>
      <c r="C181" s="4">
        <v>2.5399999999999999E-4</v>
      </c>
      <c r="D181" s="4">
        <v>6.3500000000000004E-4</v>
      </c>
      <c r="E181" s="4">
        <v>1.2700000000000001E-3</v>
      </c>
      <c r="F181" s="4">
        <v>2.5400000000000002E-3</v>
      </c>
      <c r="G181" s="9">
        <v>22</v>
      </c>
    </row>
    <row r="182" spans="1:56" ht="12.75" dyDescent="0.2" customHeight="1">
      <c r="A182" s="4">
        <v>28</v>
      </c>
      <c r="B182" s="4">
        <v>1.18E-4</v>
      </c>
      <c r="C182" s="4">
        <v>2.3599999999999999E-4</v>
      </c>
      <c r="D182" s="4">
        <v>5.9000000000000003E-4</v>
      </c>
      <c r="E182" s="4">
        <v>1.1800000000000001E-3</v>
      </c>
      <c r="F182" s="4">
        <v>2.3600000000000001E-3</v>
      </c>
      <c r="G182" s="9">
        <v>23</v>
      </c>
    </row>
    <row r="183" spans="1:56" ht="12.75" dyDescent="0.2" customHeight="1">
      <c r="A183" s="49">
        <v>29</v>
      </c>
      <c r="B183" s="4">
        <v>1.27E-4</v>
      </c>
      <c r="C183" s="4">
        <v>2.5399999999999999E-4</v>
      </c>
      <c r="D183" s="4">
        <v>6.3500000000000004E-4</v>
      </c>
      <c r="E183" s="4">
        <v>1.2700000000000001E-3</v>
      </c>
      <c r="F183" s="4">
        <v>2.5400000000000002E-3</v>
      </c>
      <c r="G183" s="9">
        <v>23</v>
      </c>
    </row>
    <row r="184" spans="1:56" ht="12.75" dyDescent="0.2" customHeight="1">
      <c r="A184" s="4">
        <v>30</v>
      </c>
      <c r="B184" s="4">
        <v>1.18E-4</v>
      </c>
      <c r="C184" s="4">
        <v>2.3599999999999999E-4</v>
      </c>
      <c r="D184" s="4">
        <v>5.9000000000000003E-4</v>
      </c>
      <c r="E184" s="4">
        <v>1.1800000000000001E-3</v>
      </c>
      <c r="F184" s="4">
        <v>2.3600000000000001E-3</v>
      </c>
      <c r="G184" s="9">
        <v>24</v>
      </c>
    </row>
    <row r="185" spans="1:56" ht="12.75" dyDescent="0.2" customHeight="1">
      <c r="A185" s="4"/>
    </row>
  </sheetData>
  <mergeCells count="14">
    <mergeCell ref="J2:Q4"/>
    <mergeCell ref="D3:H3"/>
    <mergeCell ref="A10:C10"/>
    <mergeCell ref="B14:C14"/>
    <mergeCell ref="D14:E14"/>
    <mergeCell ref="P32:S32"/>
    <mergeCell ref="T32:W32"/>
    <mergeCell ref="B58:D58"/>
    <mergeCell ref="B153:D153"/>
    <mergeCell ref="B31:C31"/>
    <mergeCell ref="D31:L31"/>
    <mergeCell ref="D32:G32"/>
    <mergeCell ref="H32:K32"/>
    <mergeCell ref="L32:O3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2"/>
  <sheetViews>
    <sheetView tabSelected="1" zoomScale="120" zoomScaleNormal="120" workbookViewId="0">
      <selection activeCell="C8" sqref="C8"/>
    </sheetView>
  </sheetViews>
  <sheetFormatPr defaultColWidth="12" defaultRowHeight="12.75" x14ac:dyDescent="0.2"/>
  <cols>
    <col min="1" max="1" width="31.28515625" customWidth="1"/>
    <col min="2" max="6" width="11.7109375" customWidth="1"/>
  </cols>
  <sheetData>
    <row r="1" spans="1:10" ht="12.75" dyDescent="0.2" customHeight="1">
      <c r="A1" t="s">
        <v>0</v>
      </c>
      <c r="B1">
        <v>10</v>
      </c>
    </row>
    <row r="2" spans="1:10" ht="12.75" dyDescent="0.2" customHeight="1">
      <c r="A2" t="s">
        <v>1</v>
      </c>
      <c r="B2">
        <v>9</v>
      </c>
    </row>
    <row r="3" spans="1:10" ht="12.75" dyDescent="0.2" customHeight="1">
      <c r="A3" t="s">
        <v>2</v>
      </c>
      <c r="B3">
        <v>18</v>
      </c>
    </row>
    <row r="4" spans="1:10" ht="12.75" dyDescent="0.2" customHeight="1">
      <c r="A4" t="s">
        <v>3</v>
      </c>
      <c r="B4">
        <v>5</v>
      </c>
    </row>
    <row r="5" spans="1:10" ht="12.75" dyDescent="0.2" customHeight="1">
      <c r="A5" t="s">
        <v>4</v>
      </c>
      <c r="B5">
        <v>8</v>
      </c>
      <c r="C5">
        <v>8</v>
      </c>
      <c r="D5">
        <v>8</v>
      </c>
      <c r="E5">
        <v>8</v>
      </c>
      <c r="F5">
        <v>8</v>
      </c>
    </row>
    <row r="6" spans="1:10" ht="12.75" dyDescent="0.2" customHeight="1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</row>
    <row r="7" spans="1:10" ht="12.75" dyDescent="0.2" customHeight="1">
      <c r="A7" t="s">
        <v>6</v>
      </c>
      <c r="B7">
        <v>5</v>
      </c>
    </row>
    <row r="8" spans="1:10" ht="12.75" dyDescent="0.2" customHeight="1">
      <c r="A8" t="s">
        <v>7</v>
      </c>
      <c r="B8">
        <v>4</v>
      </c>
    </row>
    <row r="9" spans="1:10" ht="12.75" dyDescent="0.2" customHeight="1">
      <c r="A9" t="s">
        <v>8</v>
      </c>
      <c r="B9">
        <v>20</v>
      </c>
      <c r="C9">
        <v>40</v>
      </c>
      <c r="D9">
        <v>50</v>
      </c>
      <c r="E9">
        <v>30</v>
      </c>
      <c r="F9">
        <v>20</v>
      </c>
      <c r="G9">
        <v>20</v>
      </c>
      <c r="H9">
        <v>30</v>
      </c>
      <c r="I9">
        <v>30</v>
      </c>
      <c r="J9">
        <v>20</v>
      </c>
    </row>
    <row r="10" spans="1:10" ht="12.75" dyDescent="0.2" customHeight="1">
      <c r="A10" t="s">
        <v>9</v>
      </c>
      <c r="B10" t="s">
        <v>10</v>
      </c>
      <c r="C10" t="s">
        <v>11</v>
      </c>
      <c r="D10" t="s">
        <v>12</v>
      </c>
      <c r="E10" t="s">
        <v>19</v>
      </c>
      <c r="F10" t="s">
        <v>13</v>
      </c>
      <c r="G10" t="s">
        <v>14</v>
      </c>
      <c r="H10" t="s">
        <v>26</v>
      </c>
      <c r="I10" t="s">
        <v>16</v>
      </c>
      <c r="J10" t="s">
        <v>25</v>
      </c>
    </row>
    <row r="11" spans="1:10" ht="12.75" dyDescent="0.2" customHeight="1">
      <c r="A11" s="4"/>
      <c r="B11" t="s" s="52">
        <v>20</v>
      </c>
      <c r="C11" s="62"/>
      <c r="D11" s="62"/>
      <c r="E11" s="62"/>
      <c r="F11" s="62"/>
      <c r="G11" s="62"/>
      <c r="H11" s="62"/>
      <c r="I11" s="62"/>
      <c r="J11" s="62"/>
    </row>
    <row r="12" spans="1:10" ht="12.75" dyDescent="0.2" customHeight="1">
      <c r="A12" t="s" s="5">
        <v>21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>
        <v>7</v>
      </c>
      <c r="I12" s="5">
        <v>8</v>
      </c>
      <c r="J12" s="5">
        <v>9</v>
      </c>
    </row>
    <row r="13" spans="1:10" ht="12.75" dyDescent="0.2" customHeight="1">
      <c r="A13" s="5">
        <v>1</v>
      </c>
      <c r="B13" s="6">
        <v>7</v>
      </c>
      <c r="C13" s="6">
        <v>3</v>
      </c>
      <c r="D13" s="6">
        <v>3</v>
      </c>
      <c r="E13" s="6">
        <v>0</v>
      </c>
      <c r="F13" s="6">
        <v>3</v>
      </c>
      <c r="G13" s="6">
        <v>2</v>
      </c>
      <c r="H13" s="6">
        <v>3</v>
      </c>
      <c r="I13" s="6">
        <v>3</v>
      </c>
      <c r="J13" s="6">
        <v>0</v>
      </c>
    </row>
    <row r="14" spans="1:10" ht="12.75" dyDescent="0.2" customHeight="1">
      <c r="A14" s="5">
        <v>2</v>
      </c>
      <c r="B14" s="6">
        <v>8</v>
      </c>
      <c r="C14" s="6">
        <v>2</v>
      </c>
      <c r="D14" s="6">
        <v>2</v>
      </c>
      <c r="E14" s="6">
        <v>0</v>
      </c>
      <c r="F14" s="6">
        <v>2</v>
      </c>
      <c r="G14" s="6">
        <v>3</v>
      </c>
      <c r="H14" s="6">
        <v>2</v>
      </c>
      <c r="I14" s="6">
        <v>2</v>
      </c>
      <c r="J14" s="6">
        <v>0</v>
      </c>
    </row>
    <row r="15" spans="1:10" ht="12.75" dyDescent="0.2" customHeight="1">
      <c r="A15" s="5">
        <v>3</v>
      </c>
      <c r="B15" s="6">
        <v>3</v>
      </c>
      <c r="C15" s="6">
        <v>2</v>
      </c>
      <c r="D15" s="6">
        <v>3</v>
      </c>
      <c r="E15" s="6">
        <v>2</v>
      </c>
      <c r="F15" s="6">
        <v>2</v>
      </c>
      <c r="G15" s="6">
        <v>0</v>
      </c>
      <c r="H15" s="6">
        <v>1</v>
      </c>
      <c r="I15" s="6">
        <v>2</v>
      </c>
      <c r="J15" s="6">
        <v>1</v>
      </c>
    </row>
    <row r="16" spans="1:10" ht="12.75" dyDescent="0.2" customHeight="1">
      <c r="A16" s="5">
        <v>4</v>
      </c>
      <c r="B16" s="6">
        <v>5</v>
      </c>
      <c r="C16" s="6">
        <v>4</v>
      </c>
      <c r="D16" s="6">
        <v>4</v>
      </c>
      <c r="E16" s="6">
        <v>0</v>
      </c>
      <c r="F16" s="6">
        <v>3</v>
      </c>
      <c r="G16" s="6">
        <v>1</v>
      </c>
      <c r="H16" s="6">
        <v>3</v>
      </c>
      <c r="I16" s="6">
        <v>3</v>
      </c>
      <c r="J16" s="6">
        <v>1</v>
      </c>
    </row>
    <row r="17" spans="1:10" ht="12.75" dyDescent="0.2" customHeight="1">
      <c r="A17" s="5">
        <v>5</v>
      </c>
      <c r="B17" s="6">
        <v>3</v>
      </c>
      <c r="C17" s="6">
        <v>2</v>
      </c>
      <c r="D17" s="6">
        <v>3</v>
      </c>
      <c r="E17" s="6">
        <v>0</v>
      </c>
      <c r="F17" s="6">
        <v>3</v>
      </c>
      <c r="G17" s="6">
        <v>2</v>
      </c>
      <c r="H17" s="6">
        <v>2</v>
      </c>
      <c r="I17" s="6">
        <v>2</v>
      </c>
      <c r="J17" s="6">
        <v>0</v>
      </c>
    </row>
    <row r="18" spans="1:10" ht="12.75" dyDescent="0.2" customHeight="1">
      <c r="A18" s="5">
        <v>6</v>
      </c>
      <c r="B18" s="6">
        <v>6</v>
      </c>
      <c r="C18" s="6">
        <v>5</v>
      </c>
      <c r="D18" s="6">
        <v>1</v>
      </c>
      <c r="E18" s="6">
        <v>0</v>
      </c>
      <c r="F18" s="6">
        <v>4</v>
      </c>
      <c r="G18" s="6">
        <v>0</v>
      </c>
      <c r="H18" s="6">
        <v>6</v>
      </c>
      <c r="I18" s="6">
        <v>0</v>
      </c>
      <c r="J18" s="6">
        <v>2</v>
      </c>
    </row>
    <row r="19" spans="1:10" ht="12.75" dyDescent="0.2" customHeight="1">
      <c r="A19" s="5">
        <v>7</v>
      </c>
      <c r="B19" s="6">
        <v>2</v>
      </c>
      <c r="C19" s="6">
        <v>3</v>
      </c>
      <c r="D19" s="6">
        <v>2</v>
      </c>
      <c r="E19" s="6">
        <v>2</v>
      </c>
      <c r="F19" s="6">
        <v>4</v>
      </c>
      <c r="G19" s="6">
        <v>0</v>
      </c>
      <c r="H19" s="6">
        <v>4</v>
      </c>
      <c r="I19" s="6">
        <v>0</v>
      </c>
      <c r="J19" s="6">
        <v>1</v>
      </c>
    </row>
    <row r="20" spans="1:10" ht="12.75" dyDescent="0.2" customHeight="1">
      <c r="A20" s="5">
        <v>8</v>
      </c>
      <c r="B20" s="6">
        <v>3</v>
      </c>
      <c r="C20" s="6">
        <v>0</v>
      </c>
      <c r="D20" s="6">
        <v>2</v>
      </c>
      <c r="E20" s="6">
        <v>0</v>
      </c>
      <c r="F20" s="6">
        <v>2</v>
      </c>
      <c r="G20" s="6">
        <v>1</v>
      </c>
      <c r="H20" s="6">
        <v>2</v>
      </c>
      <c r="I20" s="6">
        <v>7</v>
      </c>
      <c r="J20" s="6">
        <v>0</v>
      </c>
    </row>
    <row r="21" spans="1:10" ht="12.75" dyDescent="0.2" customHeight="1">
      <c r="A21" s="5">
        <v>9</v>
      </c>
      <c r="B21" s="6">
        <v>3</v>
      </c>
      <c r="C21" s="6">
        <v>4</v>
      </c>
      <c r="D21" s="6">
        <v>2</v>
      </c>
      <c r="E21" s="6">
        <v>0</v>
      </c>
      <c r="F21" s="6">
        <v>4</v>
      </c>
      <c r="G21" s="6">
        <v>1</v>
      </c>
      <c r="H21" s="6">
        <v>2</v>
      </c>
      <c r="I21" s="6">
        <v>4</v>
      </c>
      <c r="J21" s="6">
        <v>0</v>
      </c>
    </row>
    <row r="22" spans="1:10" ht="12.75" dyDescent="0.2" customHeight="1">
      <c r="A22" s="5">
        <v>10</v>
      </c>
      <c r="B22" s="6">
        <v>7</v>
      </c>
      <c r="C22" s="6">
        <v>3</v>
      </c>
      <c r="D22" s="6">
        <v>1</v>
      </c>
      <c r="E22" s="6">
        <v>0</v>
      </c>
      <c r="F22" s="6">
        <v>3</v>
      </c>
      <c r="G22" s="6">
        <v>0</v>
      </c>
      <c r="H22" s="6">
        <v>2</v>
      </c>
      <c r="I22" s="6">
        <v>5</v>
      </c>
      <c r="J22" s="6">
        <v>0</v>
      </c>
    </row>
    <row r="23" spans="1:10" ht="12.75" dyDescent="0.2" customHeight="1">
      <c r="A23" t="s">
        <v>22</v>
      </c>
    </row>
    <row r="24" spans="1:10" ht="12.75" dyDescent="0.2" customHeight="1">
      <c r="A24" t="s" s="5">
        <v>23</v>
      </c>
      <c r="B24" t="s" s="5">
        <v>20</v>
      </c>
    </row>
    <row r="25" spans="1:10" ht="12.75" dyDescent="0.2" customHeight="1">
      <c r="A25" s="4">
        <v>1</v>
      </c>
      <c r="B25" s="4">
        <v>1</v>
      </c>
    </row>
    <row r="26" spans="1:10" ht="12.75" dyDescent="0.2" customHeight="1">
      <c r="A26" s="4">
        <v>2</v>
      </c>
      <c r="B26" s="4">
        <v>1</v>
      </c>
    </row>
    <row r="27" spans="1:10" ht="12.75" dyDescent="0.2" customHeight="1">
      <c r="A27" s="4">
        <v>3</v>
      </c>
      <c r="B27" s="4">
        <v>1</v>
      </c>
    </row>
    <row r="28" spans="1:10" ht="12.75" dyDescent="0.2" customHeight="1">
      <c r="A28" s="4">
        <v>4</v>
      </c>
      <c r="B28" s="4">
        <v>2</v>
      </c>
    </row>
    <row r="29" spans="1:10" dyDescent="0.2">
      <c r="A29" s="4">
        <v>5</v>
      </c>
      <c r="B29" s="4">
        <v>2</v>
      </c>
    </row>
    <row r="30" spans="1:10" dyDescent="0.2">
      <c r="A30" s="4">
        <v>6</v>
      </c>
      <c r="B30" s="4">
        <v>2</v>
      </c>
    </row>
    <row r="31" spans="1:10" dyDescent="0.2">
      <c r="A31" s="4">
        <v>7</v>
      </c>
      <c r="B31" s="4">
        <v>3</v>
      </c>
    </row>
    <row r="32" spans="1:10" dyDescent="0.2">
      <c r="A32" s="4">
        <v>8</v>
      </c>
      <c r="B32" s="4">
        <v>3</v>
      </c>
    </row>
    <row r="33" spans="1:10" dyDescent="0.2">
      <c r="A33" s="4">
        <v>9</v>
      </c>
      <c r="B33" s="4">
        <v>4</v>
      </c>
    </row>
    <row r="34" spans="1:10" dyDescent="0.2">
      <c r="A34" s="4">
        <v>10</v>
      </c>
      <c r="B34" s="4">
        <v>5</v>
      </c>
    </row>
    <row r="35" spans="1:10" dyDescent="0.2">
      <c r="A35" s="4">
        <v>11</v>
      </c>
      <c r="B35" s="4">
        <v>5</v>
      </c>
    </row>
    <row r="36" spans="1:10" dyDescent="0.2">
      <c r="A36" s="4">
        <v>12</v>
      </c>
      <c r="B36" s="4">
        <v>5</v>
      </c>
    </row>
    <row r="37" spans="1:10" dyDescent="0.2">
      <c r="A37" s="4">
        <v>13</v>
      </c>
      <c r="B37" s="4">
        <v>6</v>
      </c>
    </row>
    <row r="38" spans="1:10" dyDescent="0.2">
      <c r="A38" s="4">
        <v>14</v>
      </c>
      <c r="B38" s="4">
        <v>7</v>
      </c>
    </row>
    <row r="39" spans="1:10" dyDescent="0.2">
      <c r="A39" s="4">
        <v>15</v>
      </c>
      <c r="B39" s="4">
        <v>7</v>
      </c>
    </row>
    <row r="40" spans="1:10" dyDescent="0.2">
      <c r="A40" s="4">
        <v>16</v>
      </c>
      <c r="B40" s="4">
        <v>8</v>
      </c>
    </row>
    <row r="41" spans="1:10" dyDescent="0.2">
      <c r="A41" s="4">
        <v>17</v>
      </c>
      <c r="B41" s="4">
        <v>8</v>
      </c>
    </row>
    <row r="42" spans="1:10" dyDescent="0.2">
      <c r="A42" s="4">
        <v>18</v>
      </c>
      <c r="B42" s="4">
        <v>9</v>
      </c>
    </row>
  </sheetData>
  <mergeCells count="1">
    <mergeCell ref="B11:J1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4"/>
  <sheetViews>
    <sheetView topLeftCell="A7" zoomScale="120" zoomScaleNormal="120" workbookViewId="0">
      <selection activeCell="B10" sqref="B10:J10"/>
    </sheetView>
  </sheetViews>
  <sheetFormatPr defaultColWidth="12" defaultRowHeight="12.75" x14ac:dyDescent="0.2"/>
  <cols>
    <col min="1" max="1" width="31.28515625" customWidth="1"/>
    <col min="2" max="6" width="11.7109375" customWidth="1"/>
  </cols>
  <sheetData>
    <row r="1" spans="1:11" ht="12.75" dyDescent="0.2" customHeight="1">
      <c r="A1" t="s">
        <v>0</v>
      </c>
      <c r="B1">
        <v>25</v>
      </c>
    </row>
    <row r="2" spans="1:11" ht="12.75" dyDescent="0.2" customHeight="1">
      <c r="A2" t="s">
        <v>1</v>
      </c>
      <c r="B2">
        <v>10</v>
      </c>
    </row>
    <row r="3" spans="1:11" ht="12.75" dyDescent="0.2" customHeight="1">
      <c r="A3" t="s">
        <v>2</v>
      </c>
      <c r="B3">
        <v>25</v>
      </c>
    </row>
    <row r="4" spans="1:11" ht="12.75" dyDescent="0.2" customHeight="1">
      <c r="A4" t="s">
        <v>3</v>
      </c>
      <c r="B4">
        <v>5</v>
      </c>
    </row>
    <row r="5" spans="1:11" ht="12.75" dyDescent="0.2" customHeight="1">
      <c r="A5" t="s">
        <v>4</v>
      </c>
      <c r="B5">
        <v>8</v>
      </c>
      <c r="C5">
        <v>8</v>
      </c>
      <c r="D5">
        <v>8</v>
      </c>
      <c r="E5">
        <v>8</v>
      </c>
      <c r="F5">
        <v>8</v>
      </c>
    </row>
    <row r="6" spans="1:11" ht="12.75" dyDescent="0.2" customHeight="1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</row>
    <row r="7" spans="1:11" ht="12.75" dyDescent="0.2" customHeight="1">
      <c r="A7" t="s">
        <v>6</v>
      </c>
      <c r="B7">
        <v>5</v>
      </c>
    </row>
    <row r="8" spans="1:11" ht="12.75" dyDescent="0.2" customHeight="1">
      <c r="A8" t="s">
        <v>7</v>
      </c>
      <c r="B8">
        <v>4</v>
      </c>
    </row>
    <row r="9" spans="1:11" ht="12.75" dyDescent="0.2" customHeight="1">
      <c r="A9" t="s">
        <v>8</v>
      </c>
      <c r="B9">
        <v>10</v>
      </c>
      <c r="C9">
        <v>20</v>
      </c>
      <c r="D9">
        <v>25</v>
      </c>
      <c r="E9">
        <v>20</v>
      </c>
      <c r="F9">
        <v>25</v>
      </c>
      <c r="G9">
        <v>20</v>
      </c>
      <c r="H9">
        <v>25</v>
      </c>
      <c r="I9">
        <v>25</v>
      </c>
      <c r="J9">
        <v>15</v>
      </c>
      <c r="K9">
        <v>25</v>
      </c>
    </row>
    <row r="10" spans="1:11" ht="12.75" dyDescent="0.2" customHeight="1">
      <c r="A10" t="s">
        <v>9</v>
      </c>
      <c r="B10" t="s">
        <v>10</v>
      </c>
      <c r="C10" t="s">
        <v>11</v>
      </c>
      <c r="D10" t="s">
        <v>12</v>
      </c>
      <c r="E10" t="s">
        <v>19</v>
      </c>
      <c r="F10" t="s">
        <v>13</v>
      </c>
      <c r="G10" t="s">
        <v>14</v>
      </c>
      <c r="H10" t="s">
        <v>24</v>
      </c>
      <c r="I10" t="s">
        <v>16</v>
      </c>
      <c r="J10" t="s">
        <v>25</v>
      </c>
      <c r="K10" t="s">
        <v>18</v>
      </c>
    </row>
    <row r="11" spans="1:11" ht="12.75" dyDescent="0.2" customHeight="1">
      <c r="A11" s="4"/>
      <c r="B11" t="s" s="52">
        <v>20</v>
      </c>
      <c r="C11" s="52"/>
      <c r="D11" s="52"/>
      <c r="E11" s="52"/>
      <c r="F11" s="52"/>
      <c r="G11" s="52"/>
      <c r="H11" s="52"/>
      <c r="I11" s="52"/>
      <c r="J11" s="52"/>
      <c r="K11" s="52"/>
    </row>
    <row r="12" spans="1:11" ht="12.75" dyDescent="0.2" customHeight="1">
      <c r="A12" t="s" s="5">
        <v>21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>
        <v>7</v>
      </c>
      <c r="I12" s="5">
        <v>8</v>
      </c>
      <c r="J12" s="5">
        <v>9</v>
      </c>
      <c r="K12" s="5">
        <v>10</v>
      </c>
    </row>
    <row r="13" spans="1:11" ht="12.75" dyDescent="0.2" customHeight="1">
      <c r="A13" s="5">
        <v>1</v>
      </c>
      <c r="B13" s="6">
        <v>7</v>
      </c>
      <c r="C13" s="6">
        <v>3</v>
      </c>
      <c r="D13" s="6">
        <v>3</v>
      </c>
      <c r="E13" s="6">
        <v>0</v>
      </c>
      <c r="F13" s="6">
        <v>3</v>
      </c>
      <c r="G13" s="6">
        <v>2</v>
      </c>
      <c r="H13" s="6">
        <v>0</v>
      </c>
      <c r="I13" s="6">
        <v>3</v>
      </c>
      <c r="J13" s="6">
        <v>0</v>
      </c>
      <c r="K13" s="6">
        <v>3</v>
      </c>
    </row>
    <row r="14" spans="1:11" ht="12.75" dyDescent="0.2" customHeight="1">
      <c r="A14" s="5">
        <v>2</v>
      </c>
      <c r="B14" s="6">
        <v>8</v>
      </c>
      <c r="C14" s="6">
        <v>2</v>
      </c>
      <c r="D14" s="6">
        <v>2</v>
      </c>
      <c r="E14" s="6">
        <v>0</v>
      </c>
      <c r="F14" s="6">
        <v>2</v>
      </c>
      <c r="G14" s="6">
        <v>3</v>
      </c>
      <c r="H14" s="6">
        <v>0</v>
      </c>
      <c r="I14" s="6">
        <v>2</v>
      </c>
      <c r="J14" s="6">
        <v>0</v>
      </c>
      <c r="K14" s="6">
        <v>2</v>
      </c>
    </row>
    <row r="15" spans="1:11" ht="12.75" dyDescent="0.2" customHeight="1">
      <c r="A15" s="5">
        <v>3</v>
      </c>
      <c r="B15" s="6">
        <v>3</v>
      </c>
      <c r="C15" s="6">
        <v>2</v>
      </c>
      <c r="D15" s="6">
        <v>3</v>
      </c>
      <c r="E15" s="6">
        <v>2</v>
      </c>
      <c r="F15" s="6">
        <v>2</v>
      </c>
      <c r="G15" s="6">
        <v>0</v>
      </c>
      <c r="H15" s="6">
        <v>0</v>
      </c>
      <c r="I15" s="6">
        <v>2</v>
      </c>
      <c r="J15" s="6">
        <v>1</v>
      </c>
      <c r="K15" s="6">
        <v>1</v>
      </c>
    </row>
    <row r="16" spans="1:11" ht="12.75" dyDescent="0.2" customHeight="1">
      <c r="A16" s="5">
        <v>4</v>
      </c>
      <c r="B16" s="6">
        <v>5</v>
      </c>
      <c r="C16" s="6">
        <v>4</v>
      </c>
      <c r="D16" s="6">
        <v>4</v>
      </c>
      <c r="E16" s="6">
        <v>0</v>
      </c>
      <c r="F16" s="6">
        <v>4</v>
      </c>
      <c r="G16" s="6">
        <v>1</v>
      </c>
      <c r="H16" s="6">
        <v>0</v>
      </c>
      <c r="I16" s="6">
        <v>3</v>
      </c>
      <c r="J16" s="6">
        <v>1</v>
      </c>
      <c r="K16" s="6">
        <v>3</v>
      </c>
    </row>
    <row r="17" spans="1:11" ht="12.75" dyDescent="0.2" customHeight="1">
      <c r="A17" s="5">
        <v>5</v>
      </c>
      <c r="B17" s="6">
        <v>3</v>
      </c>
      <c r="C17" s="6">
        <v>2</v>
      </c>
      <c r="D17" s="6">
        <v>3</v>
      </c>
      <c r="E17" s="6">
        <v>0</v>
      </c>
      <c r="F17" s="6">
        <v>3</v>
      </c>
      <c r="G17" s="6">
        <v>2</v>
      </c>
      <c r="H17" s="6">
        <v>0</v>
      </c>
      <c r="I17" s="6">
        <v>2</v>
      </c>
      <c r="J17" s="6">
        <v>0</v>
      </c>
      <c r="K17" s="6">
        <v>2</v>
      </c>
    </row>
    <row r="18" spans="1:11" ht="12.75" dyDescent="0.2" customHeight="1">
      <c r="A18" s="5">
        <v>6</v>
      </c>
      <c r="B18" s="6">
        <v>6</v>
      </c>
      <c r="C18" s="6">
        <v>5</v>
      </c>
      <c r="D18" s="6">
        <v>1</v>
      </c>
      <c r="E18" s="6">
        <v>0</v>
      </c>
      <c r="F18" s="6">
        <v>4</v>
      </c>
      <c r="G18" s="6">
        <v>0</v>
      </c>
      <c r="H18" s="6">
        <v>2</v>
      </c>
      <c r="I18" s="6">
        <v>0</v>
      </c>
      <c r="J18" s="6">
        <v>2</v>
      </c>
      <c r="K18" s="6">
        <v>6</v>
      </c>
    </row>
    <row r="19" spans="1:11" ht="12.75" dyDescent="0.2" customHeight="1">
      <c r="A19" s="5">
        <v>7</v>
      </c>
      <c r="B19" s="6">
        <v>2</v>
      </c>
      <c r="C19" s="6">
        <v>3</v>
      </c>
      <c r="D19" s="6">
        <v>2</v>
      </c>
      <c r="E19" s="6">
        <v>2</v>
      </c>
      <c r="F19" s="6">
        <v>4</v>
      </c>
      <c r="G19" s="6">
        <v>0</v>
      </c>
      <c r="H19" s="6">
        <v>2</v>
      </c>
      <c r="I19" s="6">
        <v>0</v>
      </c>
      <c r="J19" s="6">
        <v>1</v>
      </c>
      <c r="K19" s="6">
        <v>4</v>
      </c>
    </row>
    <row r="20" spans="1:11" ht="12.75" dyDescent="0.2" customHeight="1">
      <c r="A20" s="5">
        <v>8</v>
      </c>
      <c r="B20" s="6">
        <v>3</v>
      </c>
      <c r="C20" s="6">
        <v>0</v>
      </c>
      <c r="D20" s="6">
        <v>2</v>
      </c>
      <c r="E20" s="6">
        <v>0</v>
      </c>
      <c r="F20" s="6">
        <v>2</v>
      </c>
      <c r="G20" s="6">
        <v>1</v>
      </c>
      <c r="H20" s="6">
        <v>0</v>
      </c>
      <c r="I20" s="6">
        <v>7</v>
      </c>
      <c r="J20" s="6">
        <v>0</v>
      </c>
      <c r="K20" s="6">
        <v>2</v>
      </c>
    </row>
    <row r="21" spans="1:11" ht="12.75" dyDescent="0.2" customHeight="1">
      <c r="A21" s="5">
        <v>9</v>
      </c>
      <c r="B21" s="6">
        <v>3</v>
      </c>
      <c r="C21" s="6">
        <v>4</v>
      </c>
      <c r="D21" s="6">
        <v>2</v>
      </c>
      <c r="E21" s="6">
        <v>0</v>
      </c>
      <c r="F21" s="6">
        <v>4</v>
      </c>
      <c r="G21" s="6">
        <v>1</v>
      </c>
      <c r="H21" s="6">
        <v>0</v>
      </c>
      <c r="I21" s="6">
        <v>4</v>
      </c>
      <c r="J21" s="6">
        <v>0</v>
      </c>
      <c r="K21" s="6">
        <v>2</v>
      </c>
    </row>
    <row r="22" spans="1:11" ht="12.75" dyDescent="0.2" customHeight="1">
      <c r="A22" s="5">
        <v>10</v>
      </c>
      <c r="B22" s="6">
        <v>7</v>
      </c>
      <c r="C22" s="6">
        <v>3</v>
      </c>
      <c r="D22" s="6">
        <v>1</v>
      </c>
      <c r="E22" s="6">
        <v>0</v>
      </c>
      <c r="F22" s="6">
        <v>3</v>
      </c>
      <c r="G22" s="6">
        <v>0</v>
      </c>
      <c r="H22" s="6">
        <v>0</v>
      </c>
      <c r="I22" s="6">
        <v>5</v>
      </c>
      <c r="J22" s="6">
        <v>0</v>
      </c>
      <c r="K22" s="6">
        <v>2</v>
      </c>
    </row>
    <row r="23" spans="1:11" ht="12.75" dyDescent="0.2" customHeight="1">
      <c r="A23" s="5">
        <v>11</v>
      </c>
      <c r="B23" s="6">
        <v>3</v>
      </c>
      <c r="C23" s="6">
        <v>5</v>
      </c>
      <c r="D23" s="6">
        <v>2</v>
      </c>
      <c r="E23" s="6">
        <v>2</v>
      </c>
      <c r="F23" s="6">
        <v>4</v>
      </c>
      <c r="G23" s="6">
        <v>2</v>
      </c>
      <c r="H23" s="6">
        <v>0</v>
      </c>
      <c r="I23" s="6">
        <v>4</v>
      </c>
      <c r="J23" s="6">
        <v>1</v>
      </c>
      <c r="K23" s="6">
        <v>0</v>
      </c>
    </row>
    <row r="24" spans="1:11" ht="12.75" dyDescent="0.2" customHeight="1">
      <c r="A24" s="5">
        <v>12</v>
      </c>
      <c r="B24" s="6">
        <v>3</v>
      </c>
      <c r="C24" s="6">
        <v>5</v>
      </c>
      <c r="D24" s="6">
        <v>1</v>
      </c>
      <c r="E24" s="6">
        <v>0</v>
      </c>
      <c r="F24" s="6">
        <v>5</v>
      </c>
      <c r="G24" s="6">
        <v>1</v>
      </c>
      <c r="H24" s="6">
        <v>0</v>
      </c>
      <c r="I24" s="6">
        <v>1</v>
      </c>
      <c r="J24" s="6">
        <v>1</v>
      </c>
      <c r="K24" s="6">
        <v>3</v>
      </c>
    </row>
    <row r="25" spans="1:11" ht="12.75" dyDescent="0.2" customHeight="1">
      <c r="A25" s="5">
        <v>13</v>
      </c>
      <c r="B25" s="6">
        <v>4</v>
      </c>
      <c r="C25" s="6">
        <v>5</v>
      </c>
      <c r="D25" s="6">
        <v>2</v>
      </c>
      <c r="E25" s="6">
        <v>0</v>
      </c>
      <c r="F25" s="6">
        <v>2</v>
      </c>
      <c r="G25" s="6">
        <v>1</v>
      </c>
      <c r="H25" s="6">
        <v>2</v>
      </c>
      <c r="I25" s="6">
        <v>0</v>
      </c>
      <c r="J25" s="6">
        <v>1</v>
      </c>
      <c r="K25" s="6">
        <v>4</v>
      </c>
    </row>
    <row r="26" spans="1:11" ht="12.75" dyDescent="0.2" customHeight="1">
      <c r="A26" s="5">
        <v>14</v>
      </c>
      <c r="B26" s="6">
        <v>3</v>
      </c>
      <c r="C26" s="6">
        <v>0</v>
      </c>
      <c r="D26" s="6">
        <v>3</v>
      </c>
      <c r="E26" s="6">
        <v>2</v>
      </c>
      <c r="F26" s="6">
        <v>1</v>
      </c>
      <c r="G26" s="6">
        <v>0</v>
      </c>
      <c r="H26" s="6">
        <v>0</v>
      </c>
      <c r="I26" s="6">
        <v>4</v>
      </c>
      <c r="J26" s="6">
        <v>0</v>
      </c>
      <c r="K26" s="6">
        <v>2</v>
      </c>
    </row>
    <row r="27" spans="1:11" ht="12.75" dyDescent="0.2" customHeight="1">
      <c r="A27" s="5">
        <v>15</v>
      </c>
      <c r="B27" s="6">
        <v>7</v>
      </c>
      <c r="C27" s="6">
        <v>1</v>
      </c>
      <c r="D27" s="6">
        <v>3</v>
      </c>
      <c r="E27" s="6">
        <v>0</v>
      </c>
      <c r="F27" s="6">
        <v>2</v>
      </c>
      <c r="G27" s="6">
        <v>0</v>
      </c>
      <c r="H27" s="6">
        <v>0</v>
      </c>
      <c r="I27" s="6">
        <v>2</v>
      </c>
      <c r="J27" s="6">
        <v>0</v>
      </c>
      <c r="K27" s="6">
        <v>3</v>
      </c>
    </row>
    <row r="28" spans="1:11" ht="12.75" dyDescent="0.2" customHeight="1">
      <c r="A28" s="5">
        <v>16</v>
      </c>
      <c r="B28" s="6">
        <v>4</v>
      </c>
      <c r="C28" s="6">
        <v>2</v>
      </c>
      <c r="D28" s="6">
        <v>2</v>
      </c>
      <c r="E28" s="6">
        <v>0</v>
      </c>
      <c r="F28" s="6">
        <v>2</v>
      </c>
      <c r="G28" s="6">
        <v>0</v>
      </c>
      <c r="H28" s="6">
        <v>0</v>
      </c>
      <c r="I28" s="6">
        <v>2</v>
      </c>
      <c r="J28" s="6">
        <v>0</v>
      </c>
      <c r="K28" s="6">
        <v>2</v>
      </c>
    </row>
    <row r="29" spans="1:11" ht="12.75" dyDescent="0.2" customHeight="1">
      <c r="A29" s="5">
        <v>17</v>
      </c>
      <c r="B29" s="6">
        <v>6</v>
      </c>
      <c r="C29" s="6">
        <v>4</v>
      </c>
      <c r="D29" s="6">
        <v>1</v>
      </c>
      <c r="E29" s="6">
        <v>2</v>
      </c>
      <c r="F29" s="6">
        <v>3</v>
      </c>
      <c r="G29" s="6">
        <v>2</v>
      </c>
      <c r="H29" s="6">
        <v>0</v>
      </c>
      <c r="I29" s="6">
        <v>0</v>
      </c>
      <c r="J29" s="6">
        <v>0</v>
      </c>
      <c r="K29" s="6">
        <v>3</v>
      </c>
    </row>
    <row r="30" spans="1:11" ht="12.75" dyDescent="0.2" customHeight="1">
      <c r="A30" s="5">
        <v>18</v>
      </c>
      <c r="B30" s="6">
        <v>2</v>
      </c>
      <c r="C30" s="6">
        <v>4</v>
      </c>
      <c r="D30" s="6">
        <v>1</v>
      </c>
      <c r="E30" s="6">
        <v>0</v>
      </c>
      <c r="F30" s="6">
        <v>2</v>
      </c>
      <c r="G30" s="6">
        <v>0</v>
      </c>
      <c r="H30" s="6">
        <v>0</v>
      </c>
      <c r="I30" s="6">
        <v>6</v>
      </c>
      <c r="J30" s="6">
        <v>0</v>
      </c>
      <c r="K30" s="6">
        <v>2</v>
      </c>
    </row>
    <row r="31" spans="1:11" ht="12.75" dyDescent="0.2" customHeight="1">
      <c r="A31" s="5">
        <v>19</v>
      </c>
      <c r="B31" s="6">
        <v>5</v>
      </c>
      <c r="C31" s="6">
        <v>4</v>
      </c>
      <c r="D31" s="6">
        <v>2</v>
      </c>
      <c r="E31" s="6">
        <v>2</v>
      </c>
      <c r="F31" s="6">
        <v>2</v>
      </c>
      <c r="G31" s="6">
        <v>2</v>
      </c>
      <c r="H31" s="6">
        <v>2</v>
      </c>
      <c r="I31" s="6">
        <v>2</v>
      </c>
      <c r="J31" s="6">
        <v>1</v>
      </c>
      <c r="K31" s="6">
        <v>2</v>
      </c>
    </row>
    <row r="32" spans="1:11" ht="12.75" dyDescent="0.2" customHeight="1">
      <c r="A32" s="5">
        <v>20</v>
      </c>
      <c r="B32" s="6">
        <v>6</v>
      </c>
      <c r="C32" s="6">
        <v>3</v>
      </c>
      <c r="D32" s="6">
        <v>2</v>
      </c>
      <c r="E32" s="6">
        <v>0</v>
      </c>
      <c r="F32" s="6">
        <v>3</v>
      </c>
      <c r="G32" s="6">
        <v>0</v>
      </c>
      <c r="H32" s="6">
        <v>0</v>
      </c>
      <c r="I32" s="6">
        <v>2</v>
      </c>
      <c r="J32" s="6">
        <v>0</v>
      </c>
      <c r="K32" s="6">
        <v>3</v>
      </c>
    </row>
    <row r="33" spans="1:11" ht="12.75" dyDescent="0.2" customHeight="1">
      <c r="A33" s="5">
        <v>21</v>
      </c>
      <c r="B33" s="6">
        <v>4</v>
      </c>
      <c r="C33" s="6">
        <v>2</v>
      </c>
      <c r="D33" s="6">
        <v>2</v>
      </c>
      <c r="E33" s="6">
        <v>2</v>
      </c>
      <c r="F33" s="6">
        <v>2</v>
      </c>
      <c r="G33" s="6">
        <v>2</v>
      </c>
      <c r="H33" s="6">
        <v>0</v>
      </c>
      <c r="I33" s="6">
        <v>2</v>
      </c>
      <c r="J33" s="6">
        <v>1</v>
      </c>
      <c r="K33" s="6">
        <v>2</v>
      </c>
    </row>
    <row r="34" spans="1:11" ht="12.75" dyDescent="0.2" customHeight="1">
      <c r="A34" s="5">
        <v>22</v>
      </c>
      <c r="B34" s="6">
        <v>4</v>
      </c>
      <c r="C34" s="6">
        <v>3</v>
      </c>
      <c r="D34" s="6">
        <v>1</v>
      </c>
      <c r="E34" s="6">
        <v>2</v>
      </c>
      <c r="F34" s="6">
        <v>4</v>
      </c>
      <c r="G34" s="6">
        <v>2</v>
      </c>
      <c r="H34" s="6">
        <v>0</v>
      </c>
      <c r="I34" s="6">
        <v>4</v>
      </c>
      <c r="J34" s="6">
        <v>0</v>
      </c>
      <c r="K34" s="6">
        <v>2</v>
      </c>
    </row>
    <row r="35" spans="1:11" ht="12.75" dyDescent="0.2" customHeight="1">
      <c r="A35" s="5">
        <v>23</v>
      </c>
      <c r="B35" s="6">
        <v>3</v>
      </c>
      <c r="C35" s="6">
        <v>4</v>
      </c>
      <c r="D35" s="6">
        <v>3</v>
      </c>
      <c r="E35" s="6">
        <v>2</v>
      </c>
      <c r="F35" s="6">
        <v>2</v>
      </c>
      <c r="G35" s="6">
        <v>2</v>
      </c>
      <c r="H35" s="6">
        <v>0</v>
      </c>
      <c r="I35" s="6">
        <v>3</v>
      </c>
      <c r="J35" s="6">
        <v>1</v>
      </c>
      <c r="K35" s="6">
        <v>3</v>
      </c>
    </row>
    <row r="36" spans="1:11" ht="12.75" dyDescent="0.2" customHeight="1">
      <c r="A36" s="5">
        <v>24</v>
      </c>
      <c r="B36" s="6">
        <v>6</v>
      </c>
      <c r="C36" s="6">
        <v>2</v>
      </c>
      <c r="D36" s="6">
        <v>4</v>
      </c>
      <c r="E36" s="6">
        <v>0</v>
      </c>
      <c r="F36" s="6">
        <v>4</v>
      </c>
      <c r="G36" s="6">
        <v>1</v>
      </c>
      <c r="H36" s="6">
        <v>0</v>
      </c>
      <c r="I36" s="6">
        <v>4</v>
      </c>
      <c r="J36" s="6">
        <v>0</v>
      </c>
      <c r="K36" s="6">
        <v>0</v>
      </c>
    </row>
    <row r="37" spans="1:11" ht="12.75" dyDescent="0.2" customHeight="1">
      <c r="A37" s="5">
        <v>25</v>
      </c>
      <c r="B37" s="6">
        <v>6</v>
      </c>
      <c r="C37" s="6">
        <v>4</v>
      </c>
      <c r="D37" s="6">
        <v>2</v>
      </c>
      <c r="E37" s="6">
        <v>0</v>
      </c>
      <c r="F37" s="6">
        <v>2</v>
      </c>
      <c r="G37" s="6">
        <v>2</v>
      </c>
      <c r="H37" s="6">
        <v>0</v>
      </c>
      <c r="I37" s="6">
        <v>4</v>
      </c>
      <c r="J37" s="6">
        <v>0</v>
      </c>
      <c r="K37" s="6">
        <v>2</v>
      </c>
    </row>
    <row r="38" spans="1:11" ht="12.75" dyDescent="0.2" customHeight="1">
      <c r="A38" t="s">
        <v>22</v>
      </c>
    </row>
    <row r="39" spans="1:11" ht="12.75" dyDescent="0.2" customHeight="1">
      <c r="A39" t="s" s="5">
        <v>23</v>
      </c>
      <c r="B39" t="s" s="5">
        <v>20</v>
      </c>
    </row>
    <row r="40" spans="1:11" ht="12.75" dyDescent="0.2" customHeight="1">
      <c r="A40" s="4">
        <v>1</v>
      </c>
      <c r="B40" s="4">
        <v>2</v>
      </c>
    </row>
    <row r="41" spans="1:11" ht="12.75" dyDescent="0.2" customHeight="1">
      <c r="A41" s="4">
        <v>2</v>
      </c>
      <c r="B41" s="4">
        <v>2</v>
      </c>
    </row>
    <row r="42" spans="1:11" ht="12.75" dyDescent="0.2" customHeight="1">
      <c r="A42" s="4">
        <v>3</v>
      </c>
      <c r="B42" s="4">
        <v>2</v>
      </c>
    </row>
    <row r="43" spans="1:11" ht="12.75" dyDescent="0.2" customHeight="1">
      <c r="A43" s="4">
        <v>4</v>
      </c>
      <c r="B43" s="4">
        <v>8</v>
      </c>
    </row>
    <row r="44" spans="1:11" dyDescent="0.2">
      <c r="A44" s="4">
        <v>5</v>
      </c>
      <c r="B44" s="4">
        <v>8</v>
      </c>
    </row>
    <row r="45" spans="1:11" dyDescent="0.2">
      <c r="A45" s="4">
        <v>6</v>
      </c>
      <c r="B45" s="4">
        <v>1</v>
      </c>
    </row>
    <row r="46" spans="1:11" dyDescent="0.2">
      <c r="A46" s="4">
        <v>7</v>
      </c>
      <c r="B46" s="4">
        <v>1</v>
      </c>
    </row>
    <row r="47" spans="1:11" dyDescent="0.2">
      <c r="A47" s="4">
        <v>8</v>
      </c>
      <c r="B47" s="4">
        <v>6</v>
      </c>
    </row>
    <row r="48" spans="1:11" dyDescent="0.2">
      <c r="A48" s="4">
        <v>9</v>
      </c>
      <c r="B48" s="4">
        <v>5</v>
      </c>
    </row>
    <row r="49" spans="1:11" dyDescent="0.2">
      <c r="A49" s="4">
        <v>10</v>
      </c>
      <c r="B49" s="4">
        <v>5</v>
      </c>
    </row>
    <row r="50" spans="1:11" dyDescent="0.2">
      <c r="A50" s="4">
        <v>11</v>
      </c>
      <c r="B50" s="4">
        <v>1</v>
      </c>
    </row>
    <row r="51" spans="1:11" dyDescent="0.2">
      <c r="A51" s="4">
        <v>12</v>
      </c>
      <c r="B51" s="4">
        <v>1</v>
      </c>
    </row>
    <row r="52" spans="1:11" dyDescent="0.2">
      <c r="A52" s="4">
        <v>13</v>
      </c>
      <c r="B52" s="4">
        <v>4</v>
      </c>
    </row>
    <row r="53" spans="1:11" dyDescent="0.2">
      <c r="A53" s="4">
        <v>14</v>
      </c>
      <c r="B53" s="4">
        <v>9</v>
      </c>
    </row>
    <row r="54" spans="1:11" dyDescent="0.2">
      <c r="A54" s="4">
        <v>15</v>
      </c>
      <c r="B54" s="4">
        <v>3</v>
      </c>
    </row>
    <row r="55" spans="1:11" dyDescent="0.2">
      <c r="A55" s="4">
        <v>16</v>
      </c>
      <c r="B55" s="4">
        <v>3</v>
      </c>
    </row>
    <row r="56" spans="1:11" dyDescent="0.2">
      <c r="A56" s="4">
        <v>17</v>
      </c>
      <c r="B56" s="4">
        <v>10</v>
      </c>
    </row>
    <row r="57" spans="1:11" dyDescent="0.2">
      <c r="A57" s="4">
        <v>18</v>
      </c>
      <c r="B57" s="4">
        <v>4</v>
      </c>
    </row>
    <row r="58" spans="1:11" dyDescent="0.2">
      <c r="A58" s="4">
        <v>19</v>
      </c>
      <c r="B58" s="4">
        <v>1</v>
      </c>
    </row>
    <row r="59" spans="1:11" dyDescent="0.2">
      <c r="A59" s="4">
        <v>20</v>
      </c>
      <c r="B59" s="4">
        <v>1</v>
      </c>
    </row>
    <row r="60" spans="1:11" dyDescent="0.2">
      <c r="A60" s="4">
        <v>21</v>
      </c>
      <c r="B60" s="4">
        <v>1</v>
      </c>
    </row>
    <row r="61" spans="1:11" dyDescent="0.2">
      <c r="A61" s="4">
        <v>22</v>
      </c>
      <c r="B61" s="4">
        <v>1</v>
      </c>
    </row>
    <row r="62" spans="1:11" dyDescent="0.2">
      <c r="A62" s="4">
        <v>23</v>
      </c>
      <c r="B62" s="4">
        <v>1</v>
      </c>
    </row>
    <row r="63" spans="1:11" dyDescent="0.2">
      <c r="A63" s="4">
        <v>24</v>
      </c>
      <c r="B63" s="4">
        <v>7</v>
      </c>
    </row>
    <row r="64" spans="1:11" dyDescent="0.2">
      <c r="A64" s="4">
        <v>25</v>
      </c>
      <c r="B64" s="4">
        <v>10</v>
      </c>
    </row>
  </sheetData>
  <mergeCells count="1">
    <mergeCell ref="B11:K1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300"/>
  <sheetViews>
    <sheetView zoomScale="84" zoomScaleNormal="84" workbookViewId="0">
      <selection activeCell="H18" sqref="H18"/>
    </sheetView>
  </sheetViews>
  <sheetFormatPr defaultColWidth="11.5703125" defaultRowHeight="12.75" x14ac:dyDescent="0.2"/>
  <sheetData>
    <row r="1" spans="1:100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</row>
    <row r="2" spans="1:10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</row>
    <row r="3" spans="1:100">
      <c r="A3"/>
      <c r="B3" t="s">
        <v>10</v>
      </c>
      <c r="C3" t="s">
        <v>10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19</v>
      </c>
      <c r="K3" t="s">
        <v>13</v>
      </c>
      <c r="L3" t="s">
        <v>13</v>
      </c>
      <c r="M3" t="s">
        <v>13</v>
      </c>
      <c r="N3" t="s">
        <v>14</v>
      </c>
      <c r="O3" t="s">
        <v>26</v>
      </c>
      <c r="P3" t="s">
        <v>26</v>
      </c>
      <c r="Q3" t="s">
        <v>16</v>
      </c>
      <c r="R3" t="s">
        <v>16</v>
      </c>
      <c r="S3" t="s">
        <v>25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 spans="1:100">
      <c r="A4"/>
      <c r="B4"/>
      <c r="C4"/>
      <c r="D4"/>
      <c r="E4"/>
      <c r="F4" t="s">
        <v>42</v>
      </c>
      <c r="G4"/>
      <c r="H4"/>
      <c r="I4" t="s">
        <v>46</v>
      </c>
      <c r="J4"/>
      <c r="K4"/>
      <c r="L4" t="s">
        <v>51</v>
      </c>
      <c r="M4"/>
      <c r="N4"/>
      <c r="O4"/>
      <c r="P4" t="s">
        <v>60</v>
      </c>
      <c r="Q4" t="s">
        <v>63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100">
      <c r="A5"/>
      <c r="B5"/>
      <c r="C5" t="s">
        <v>36</v>
      </c>
      <c r="D5"/>
      <c r="E5" t="s">
        <v>41</v>
      </c>
      <c r="F5"/>
      <c r="G5"/>
      <c r="H5"/>
      <c r="I5"/>
      <c r="J5" t="s">
        <v>49</v>
      </c>
      <c r="K5"/>
      <c r="L5"/>
      <c r="M5" t="s">
        <v>54</v>
      </c>
      <c r="N5"/>
      <c r="O5"/>
      <c r="P5" t="s">
        <v>60</v>
      </c>
      <c r="Q5"/>
      <c r="R5" t="s">
        <v>65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</row>
    <row r="6" spans="1:100">
      <c r="A6"/>
      <c r="B6"/>
      <c r="C6" t="s">
        <v>38</v>
      </c>
      <c r="D6"/>
      <c r="E6"/>
      <c r="F6"/>
      <c r="G6"/>
      <c r="H6"/>
      <c r="I6"/>
      <c r="J6"/>
      <c r="K6"/>
      <c r="L6" t="s">
        <v>52</v>
      </c>
      <c r="M6"/>
      <c r="N6" t="s">
        <v>56</v>
      </c>
      <c r="O6"/>
      <c r="P6" t="s">
        <v>60</v>
      </c>
      <c r="Q6"/>
      <c r="R6" t="s">
        <v>65</v>
      </c>
      <c r="S6" t="s">
        <v>66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</row>
    <row r="7" spans="1:100">
      <c r="A7"/>
      <c r="B7"/>
      <c r="C7" t="s">
        <v>37</v>
      </c>
      <c r="D7"/>
      <c r="E7"/>
      <c r="F7"/>
      <c r="G7"/>
      <c r="H7"/>
      <c r="I7" t="s">
        <v>48</v>
      </c>
      <c r="J7"/>
      <c r="K7"/>
      <c r="L7"/>
      <c r="M7" t="s">
        <v>52</v>
      </c>
      <c r="N7" t="s">
        <v>57</v>
      </c>
      <c r="O7" t="s">
        <v>58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</row>
    <row r="8" spans="1:100">
      <c r="A8"/>
      <c r="B8" t="s">
        <v>38</v>
      </c>
      <c r="C8"/>
      <c r="D8" t="s">
        <v>35</v>
      </c>
      <c r="E8"/>
      <c r="F8"/>
      <c r="G8"/>
      <c r="H8"/>
      <c r="I8"/>
      <c r="J8"/>
      <c r="K8"/>
      <c r="L8" t="s">
        <v>53</v>
      </c>
      <c r="M8"/>
      <c r="N8"/>
      <c r="O8" t="s">
        <v>59</v>
      </c>
      <c r="P8"/>
      <c r="Q8" t="s">
        <v>64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</row>
    <row r="9" spans="1:100">
      <c r="A9"/>
      <c r="B9"/>
      <c r="C9" t="s">
        <v>35</v>
      </c>
      <c r="D9" t="s">
        <v>39</v>
      </c>
      <c r="E9"/>
      <c r="F9" t="s">
        <v>43</v>
      </c>
      <c r="G9"/>
      <c r="H9" t="s">
        <v>45</v>
      </c>
      <c r="I9"/>
      <c r="J9"/>
      <c r="K9"/>
      <c r="L9"/>
      <c r="M9" t="s">
        <v>55</v>
      </c>
      <c r="N9"/>
      <c r="O9"/>
      <c r="P9" t="s">
        <v>61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</row>
    <row r="10" spans="1:100">
      <c r="A10"/>
      <c r="B10" t="s">
        <v>35</v>
      </c>
      <c r="C10"/>
      <c r="D10" t="s">
        <v>40</v>
      </c>
      <c r="E10"/>
      <c r="F10" t="s">
        <v>44</v>
      </c>
      <c r="G10"/>
      <c r="H10" t="s">
        <v>46</v>
      </c>
      <c r="I10"/>
      <c r="J10"/>
      <c r="K10"/>
      <c r="L10"/>
      <c r="M10" t="s">
        <v>54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</row>
    <row r="11" spans="1:100">
      <c r="A11"/>
      <c r="B11"/>
      <c r="C11"/>
      <c r="D11" t="s">
        <v>40</v>
      </c>
      <c r="E11" t="s">
        <v>42</v>
      </c>
      <c r="F11"/>
      <c r="G11"/>
      <c r="H11" t="s">
        <v>47</v>
      </c>
      <c r="I11"/>
      <c r="J11"/>
      <c r="K11" t="s">
        <v>50</v>
      </c>
      <c r="L11"/>
      <c r="M11"/>
      <c r="N11"/>
      <c r="O11"/>
      <c r="P11" t="s">
        <v>62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</row>
    <row r="12" spans="1:10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</row>
    <row r="13" spans="1:10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</row>
    <row r="14" spans="1:100">
      <c r="A14"/>
      <c r="B14" t="s">
        <v>10</v>
      </c>
      <c r="C14" t="s">
        <v>10</v>
      </c>
      <c r="D14" t="s">
        <v>10</v>
      </c>
      <c r="E14" t="s">
        <v>11</v>
      </c>
      <c r="F14" t="s">
        <v>11</v>
      </c>
      <c r="G14" t="s">
        <v>11</v>
      </c>
      <c r="H14" t="s">
        <v>12</v>
      </c>
      <c r="I14" t="s">
        <v>12</v>
      </c>
      <c r="J14" t="s">
        <v>19</v>
      </c>
      <c r="K14" t="s">
        <v>13</v>
      </c>
      <c r="L14" t="s">
        <v>13</v>
      </c>
      <c r="M14" t="s">
        <v>13</v>
      </c>
      <c r="N14" t="s">
        <v>14</v>
      </c>
      <c r="O14" t="s">
        <v>26</v>
      </c>
      <c r="P14" t="s">
        <v>26</v>
      </c>
      <c r="Q14" t="s">
        <v>16</v>
      </c>
      <c r="R14" t="s">
        <v>16</v>
      </c>
      <c r="S14" t="s">
        <v>25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</row>
    <row r="15" spans="1:100">
      <c r="A15"/>
      <c r="B15"/>
      <c r="C15"/>
      <c r="D15"/>
      <c r="E15"/>
      <c r="F15"/>
      <c r="G15" t="s">
        <v>43</v>
      </c>
      <c r="H15"/>
      <c r="I15"/>
      <c r="J15"/>
      <c r="K15"/>
      <c r="L15"/>
      <c r="M15" t="s">
        <v>50</v>
      </c>
      <c r="N15"/>
      <c r="O15"/>
      <c r="P15" t="s">
        <v>61</v>
      </c>
      <c r="Q15" t="s">
        <v>83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</row>
    <row r="16" spans="1:100">
      <c r="A16"/>
      <c r="B16"/>
      <c r="C16" t="s">
        <v>36</v>
      </c>
      <c r="D16"/>
      <c r="E16" t="s">
        <v>71</v>
      </c>
      <c r="F16"/>
      <c r="G16"/>
      <c r="H16"/>
      <c r="I16"/>
      <c r="J16" t="s">
        <v>77</v>
      </c>
      <c r="K16" t="s">
        <v>51</v>
      </c>
      <c r="L16"/>
      <c r="M16"/>
      <c r="N16"/>
      <c r="O16" t="s">
        <v>58</v>
      </c>
      <c r="P16"/>
      <c r="Q16" t="s">
        <v>84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</row>
    <row r="17" spans="1:100">
      <c r="A17"/>
      <c r="B17" t="s">
        <v>37</v>
      </c>
      <c r="C17" t="s">
        <v>40</v>
      </c>
      <c r="D17"/>
      <c r="E17"/>
      <c r="F17"/>
      <c r="G17" t="s">
        <v>42</v>
      </c>
      <c r="H17"/>
      <c r="I17" t="s">
        <v>47</v>
      </c>
      <c r="J17"/>
      <c r="K17"/>
      <c r="L17"/>
      <c r="M17" t="s">
        <v>79</v>
      </c>
      <c r="N17"/>
      <c r="O17" t="s">
        <v>81</v>
      </c>
      <c r="P17"/>
      <c r="Q17"/>
      <c r="R17" t="s">
        <v>86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</row>
    <row r="18" spans="1:100">
      <c r="A18"/>
      <c r="B18"/>
      <c r="C18"/>
      <c r="D18" t="s">
        <v>69</v>
      </c>
      <c r="E18"/>
      <c r="F18" t="s">
        <v>44</v>
      </c>
      <c r="G18"/>
      <c r="H18" t="s">
        <v>74</v>
      </c>
      <c r="I18"/>
      <c r="J18"/>
      <c r="K18" t="s">
        <v>55</v>
      </c>
      <c r="L18"/>
      <c r="M18"/>
      <c r="N18"/>
      <c r="O18"/>
      <c r="P18" t="s">
        <v>62</v>
      </c>
      <c r="Q18" t="s">
        <v>85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</row>
    <row r="19" spans="1:100">
      <c r="A19"/>
      <c r="B19"/>
      <c r="C19"/>
      <c r="D19" t="s">
        <v>39</v>
      </c>
      <c r="E19" t="s">
        <v>72</v>
      </c>
      <c r="F19"/>
      <c r="G19"/>
      <c r="H19"/>
      <c r="I19"/>
      <c r="J19"/>
      <c r="K19" t="s">
        <v>55</v>
      </c>
      <c r="L19"/>
      <c r="M19"/>
      <c r="N19"/>
      <c r="O19"/>
      <c r="P19" t="s">
        <v>61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</row>
    <row r="20" spans="1:100">
      <c r="A20"/>
      <c r="B20"/>
      <c r="C20"/>
      <c r="D20" t="s">
        <v>69</v>
      </c>
      <c r="E20"/>
      <c r="F20" t="s">
        <v>44</v>
      </c>
      <c r="G20"/>
      <c r="H20" t="s">
        <v>45</v>
      </c>
      <c r="I20"/>
      <c r="J20"/>
      <c r="K20" t="s">
        <v>53</v>
      </c>
      <c r="L20"/>
      <c r="M20"/>
      <c r="N20" t="s">
        <v>80</v>
      </c>
      <c r="O20"/>
      <c r="P20" t="s">
        <v>58</v>
      </c>
      <c r="Q20" t="s">
        <v>85</v>
      </c>
      <c r="R20"/>
      <c r="S20" t="s">
        <v>87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</row>
    <row r="21" spans="1:100">
      <c r="A21"/>
      <c r="B21"/>
      <c r="C21"/>
      <c r="D21"/>
      <c r="E21" t="s">
        <v>72</v>
      </c>
      <c r="F21"/>
      <c r="G21"/>
      <c r="H21"/>
      <c r="I21" t="s">
        <v>76</v>
      </c>
      <c r="J21" t="s">
        <v>49</v>
      </c>
      <c r="K21" t="s">
        <v>78</v>
      </c>
      <c r="L21"/>
      <c r="M21"/>
      <c r="N21"/>
      <c r="O21" t="s">
        <v>82</v>
      </c>
      <c r="P21"/>
      <c r="Q21" t="s">
        <v>84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</row>
    <row r="22" spans="1:100">
      <c r="A22"/>
      <c r="B22"/>
      <c r="C22"/>
      <c r="D22" t="s">
        <v>70</v>
      </c>
      <c r="E22" t="s">
        <v>73</v>
      </c>
      <c r="F22"/>
      <c r="G22"/>
      <c r="H22" t="s">
        <v>75</v>
      </c>
      <c r="I22"/>
      <c r="J22"/>
      <c r="K22"/>
      <c r="L22" t="s">
        <v>53</v>
      </c>
      <c r="M22"/>
      <c r="N22"/>
      <c r="O22"/>
      <c r="P22"/>
      <c r="Q22" t="s">
        <v>85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</row>
    <row r="23" spans="1:10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</row>
    <row r="24" spans="1:10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</row>
    <row r="25" spans="1:100">
      <c r="A25"/>
      <c r="B25" t="s">
        <v>10</v>
      </c>
      <c r="C25" t="s">
        <v>10</v>
      </c>
      <c r="D25" t="s">
        <v>10</v>
      </c>
      <c r="E25" t="s">
        <v>11</v>
      </c>
      <c r="F25" t="s">
        <v>11</v>
      </c>
      <c r="G25" t="s">
        <v>11</v>
      </c>
      <c r="H25" t="s">
        <v>12</v>
      </c>
      <c r="I25" t="s">
        <v>12</v>
      </c>
      <c r="J25" t="s">
        <v>19</v>
      </c>
      <c r="K25" t="s">
        <v>13</v>
      </c>
      <c r="L25" t="s">
        <v>13</v>
      </c>
      <c r="M25" t="s">
        <v>13</v>
      </c>
      <c r="N25" t="s">
        <v>14</v>
      </c>
      <c r="O25" t="s">
        <v>26</v>
      </c>
      <c r="P25" t="s">
        <v>26</v>
      </c>
      <c r="Q25" t="s">
        <v>16</v>
      </c>
      <c r="R25" t="s">
        <v>16</v>
      </c>
      <c r="S25" t="s">
        <v>25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</row>
    <row r="26" spans="1:100">
      <c r="A26"/>
      <c r="B26"/>
      <c r="C26" t="s">
        <v>69</v>
      </c>
      <c r="D26"/>
      <c r="E26"/>
      <c r="F26"/>
      <c r="G26"/>
      <c r="H26" t="s">
        <v>89</v>
      </c>
      <c r="I26"/>
      <c r="J26"/>
      <c r="K26"/>
      <c r="L26" t="s">
        <v>53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</row>
    <row r="27" spans="1:100">
      <c r="A27"/>
      <c r="B27"/>
      <c r="C27" t="s">
        <v>69</v>
      </c>
      <c r="D27"/>
      <c r="E27"/>
      <c r="F27"/>
      <c r="G27" t="s">
        <v>43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</row>
    <row r="28" spans="1:100">
      <c r="A28"/>
      <c r="B28"/>
      <c r="C28"/>
      <c r="D28" t="s">
        <v>69</v>
      </c>
      <c r="E28"/>
      <c r="F28"/>
      <c r="G28"/>
      <c r="H28"/>
      <c r="I28"/>
      <c r="J28"/>
      <c r="K28"/>
      <c r="L28"/>
      <c r="M28"/>
      <c r="N28"/>
      <c r="O28"/>
      <c r="P28" t="s">
        <v>60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</row>
    <row r="29" spans="1:10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</row>
    <row r="30" spans="1:100">
      <c r="A30"/>
      <c r="B30" t="s">
        <v>88</v>
      </c>
      <c r="C30"/>
      <c r="D30"/>
      <c r="E30"/>
      <c r="F30"/>
      <c r="G30" t="s">
        <v>43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</row>
    <row r="31" spans="1:100">
      <c r="A31"/>
      <c r="B31" t="s">
        <v>69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 t="s">
        <v>85</v>
      </c>
      <c r="R31"/>
      <c r="S31" t="s">
        <v>92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</row>
    <row r="32" spans="1:100">
      <c r="A32"/>
      <c r="B32"/>
      <c r="C32"/>
      <c r="D32"/>
      <c r="E32"/>
      <c r="F32"/>
      <c r="G32"/>
      <c r="H32"/>
      <c r="I32" t="s">
        <v>90</v>
      </c>
      <c r="J32"/>
      <c r="K32"/>
      <c r="L32"/>
      <c r="M32"/>
      <c r="N32"/>
      <c r="O32"/>
      <c r="P32" t="s">
        <v>91</v>
      </c>
      <c r="Q32" t="s">
        <v>83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</row>
    <row r="33" spans="1:100">
      <c r="A33"/>
      <c r="B33"/>
      <c r="C33" t="s">
        <v>40</v>
      </c>
      <c r="D33" t="s">
        <v>69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</row>
    <row r="34" spans="1:10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</row>
    <row r="35" spans="1:10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</row>
    <row r="36" spans="1:100">
      <c r="A36"/>
      <c r="B36" t="s">
        <v>10</v>
      </c>
      <c r="C36" t="s">
        <v>10</v>
      </c>
      <c r="D36" t="s">
        <v>10</v>
      </c>
      <c r="E36" t="s">
        <v>11</v>
      </c>
      <c r="F36" t="s">
        <v>11</v>
      </c>
      <c r="G36" t="s">
        <v>11</v>
      </c>
      <c r="H36" t="s">
        <v>12</v>
      </c>
      <c r="I36" t="s">
        <v>12</v>
      </c>
      <c r="J36" t="s">
        <v>19</v>
      </c>
      <c r="K36" t="s">
        <v>13</v>
      </c>
      <c r="L36" t="s">
        <v>13</v>
      </c>
      <c r="M36" t="s">
        <v>13</v>
      </c>
      <c r="N36" t="s">
        <v>14</v>
      </c>
      <c r="O36" t="s">
        <v>26</v>
      </c>
      <c r="P36" t="s">
        <v>26</v>
      </c>
      <c r="Q36" t="s">
        <v>16</v>
      </c>
      <c r="R36" t="s">
        <v>16</v>
      </c>
      <c r="S36" t="s">
        <v>25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</row>
    <row r="37" spans="1:100">
      <c r="A37"/>
      <c r="B37"/>
      <c r="C37"/>
      <c r="D37" t="s">
        <v>37</v>
      </c>
      <c r="E37"/>
      <c r="F37"/>
      <c r="G37"/>
      <c r="H37"/>
      <c r="I37"/>
      <c r="J37"/>
      <c r="K37"/>
      <c r="L37"/>
      <c r="M37"/>
      <c r="N37"/>
      <c r="O37"/>
      <c r="P37" t="s">
        <v>81</v>
      </c>
      <c r="Q37" t="s">
        <v>86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</row>
    <row r="38" spans="1:100">
      <c r="A38"/>
      <c r="B38"/>
      <c r="C38" t="s">
        <v>38</v>
      </c>
      <c r="D38"/>
      <c r="E38"/>
      <c r="F38"/>
      <c r="G38" t="s">
        <v>94</v>
      </c>
      <c r="H38"/>
      <c r="I38"/>
      <c r="J38"/>
      <c r="K38"/>
      <c r="L38"/>
      <c r="M38" t="s">
        <v>52</v>
      </c>
      <c r="N38" t="s">
        <v>97</v>
      </c>
      <c r="O38"/>
      <c r="P38" t="s">
        <v>91</v>
      </c>
      <c r="Q38" t="s">
        <v>83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</row>
    <row r="39" spans="1:100">
      <c r="A39"/>
      <c r="B39"/>
      <c r="C39" t="s">
        <v>70</v>
      </c>
      <c r="D39"/>
      <c r="E39"/>
      <c r="F39"/>
      <c r="G39"/>
      <c r="H39" t="s">
        <v>47</v>
      </c>
      <c r="I39"/>
      <c r="J39"/>
      <c r="K39" t="s">
        <v>78</v>
      </c>
      <c r="L39"/>
      <c r="M39"/>
      <c r="N39" t="s">
        <v>97</v>
      </c>
      <c r="O39"/>
      <c r="P39" t="s">
        <v>59</v>
      </c>
      <c r="Q39"/>
      <c r="R39" t="s">
        <v>64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</row>
    <row r="40" spans="1:100">
      <c r="A40"/>
      <c r="B40"/>
      <c r="C40" t="s">
        <v>88</v>
      </c>
      <c r="D40"/>
      <c r="E40"/>
      <c r="F40" t="s">
        <v>95</v>
      </c>
      <c r="G40"/>
      <c r="H40" t="s">
        <v>76</v>
      </c>
      <c r="I40"/>
      <c r="J40"/>
      <c r="K40"/>
      <c r="L40" t="s">
        <v>50</v>
      </c>
      <c r="M40"/>
      <c r="N40"/>
      <c r="O40"/>
      <c r="P40"/>
      <c r="Q40"/>
      <c r="R40" t="s">
        <v>83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</row>
    <row r="41" spans="1:100">
      <c r="A41"/>
      <c r="B41"/>
      <c r="C41"/>
      <c r="D41" t="s">
        <v>93</v>
      </c>
      <c r="E41" t="s">
        <v>41</v>
      </c>
      <c r="F41"/>
      <c r="G41"/>
      <c r="H41" t="s">
        <v>76</v>
      </c>
      <c r="I41"/>
      <c r="J41"/>
      <c r="K41"/>
      <c r="L41"/>
      <c r="M41" t="s">
        <v>96</v>
      </c>
      <c r="N41"/>
      <c r="O41"/>
      <c r="P41"/>
      <c r="Q41" t="s">
        <v>85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</row>
    <row r="42" spans="1:100">
      <c r="A42"/>
      <c r="B42"/>
      <c r="C42"/>
      <c r="D42" t="s">
        <v>37</v>
      </c>
      <c r="E42"/>
      <c r="F42"/>
      <c r="G42" t="s">
        <v>41</v>
      </c>
      <c r="H42"/>
      <c r="I42" t="s">
        <v>48</v>
      </c>
      <c r="J42"/>
      <c r="K42" t="s">
        <v>79</v>
      </c>
      <c r="L42"/>
      <c r="M42"/>
      <c r="N42"/>
      <c r="O42"/>
      <c r="P42"/>
      <c r="Q42" t="s">
        <v>85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</row>
    <row r="43" spans="1:100">
      <c r="A43"/>
      <c r="B43"/>
      <c r="C43" t="s">
        <v>38</v>
      </c>
      <c r="D43" t="s">
        <v>37</v>
      </c>
      <c r="E43" t="s">
        <v>94</v>
      </c>
      <c r="F43"/>
      <c r="G43"/>
      <c r="H43" t="s">
        <v>46</v>
      </c>
      <c r="I43"/>
      <c r="J43"/>
      <c r="K43" t="s">
        <v>96</v>
      </c>
      <c r="L43"/>
      <c r="M43"/>
      <c r="N43"/>
      <c r="O43"/>
      <c r="P43" t="s">
        <v>82</v>
      </c>
      <c r="Q43" t="s">
        <v>85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</row>
    <row r="44" spans="1:100">
      <c r="A44"/>
      <c r="B44"/>
      <c r="C44" t="s">
        <v>38</v>
      </c>
      <c r="D44" t="s">
        <v>36</v>
      </c>
      <c r="E44"/>
      <c r="F44"/>
      <c r="G44" t="s">
        <v>71</v>
      </c>
      <c r="H44" t="s">
        <v>89</v>
      </c>
      <c r="I44"/>
      <c r="J44"/>
      <c r="K44"/>
      <c r="L44"/>
      <c r="M44"/>
      <c r="N44" t="s">
        <v>98</v>
      </c>
      <c r="O44"/>
      <c r="P44"/>
      <c r="Q44" t="s">
        <v>86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</row>
    <row r="45" spans="1:10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</row>
    <row r="46" spans="1:10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</row>
    <row r="47" spans="1:100">
      <c r="A47"/>
      <c r="B47" t="s">
        <v>10</v>
      </c>
      <c r="C47" t="s">
        <v>10</v>
      </c>
      <c r="D47" t="s">
        <v>10</v>
      </c>
      <c r="E47" t="s">
        <v>11</v>
      </c>
      <c r="F47" t="s">
        <v>11</v>
      </c>
      <c r="G47" t="s">
        <v>11</v>
      </c>
      <c r="H47" t="s">
        <v>12</v>
      </c>
      <c r="I47" t="s">
        <v>12</v>
      </c>
      <c r="J47" t="s">
        <v>19</v>
      </c>
      <c r="K47" t="s">
        <v>13</v>
      </c>
      <c r="L47" t="s">
        <v>13</v>
      </c>
      <c r="M47" t="s">
        <v>13</v>
      </c>
      <c r="N47" t="s">
        <v>14</v>
      </c>
      <c r="O47" t="s">
        <v>26</v>
      </c>
      <c r="P47" t="s">
        <v>26</v>
      </c>
      <c r="Q47" t="s">
        <v>16</v>
      </c>
      <c r="R47" t="s">
        <v>16</v>
      </c>
      <c r="S47" t="s">
        <v>25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</row>
    <row r="48" spans="1:100">
      <c r="A48"/>
      <c r="B48"/>
      <c r="C48" t="s">
        <v>38</v>
      </c>
      <c r="D48"/>
      <c r="E48"/>
      <c r="F48"/>
      <c r="G48" t="s">
        <v>94</v>
      </c>
      <c r="H48"/>
      <c r="I48"/>
      <c r="J48"/>
      <c r="K48"/>
      <c r="L48"/>
      <c r="M48" t="s">
        <v>55</v>
      </c>
      <c r="N48" t="s">
        <v>80</v>
      </c>
      <c r="O48"/>
      <c r="P48" t="s">
        <v>60</v>
      </c>
      <c r="Q48" t="s">
        <v>65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</row>
    <row r="49" spans="1:100">
      <c r="A49"/>
      <c r="B49"/>
      <c r="C49" t="s">
        <v>70</v>
      </c>
      <c r="D49" t="s">
        <v>38</v>
      </c>
      <c r="E49"/>
      <c r="F49"/>
      <c r="G49" t="s">
        <v>94</v>
      </c>
      <c r="H49"/>
      <c r="I49"/>
      <c r="J49"/>
      <c r="K49"/>
      <c r="L49"/>
      <c r="M49" t="s">
        <v>79</v>
      </c>
      <c r="N49" t="s">
        <v>101</v>
      </c>
      <c r="O49" t="s">
        <v>102</v>
      </c>
      <c r="P49"/>
      <c r="Q49" t="s">
        <v>83</v>
      </c>
      <c r="R49"/>
      <c r="S49" t="s">
        <v>105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</row>
    <row r="50" spans="1:100">
      <c r="A50"/>
      <c r="B50"/>
      <c r="C50" t="s">
        <v>40</v>
      </c>
      <c r="D50"/>
      <c r="E50" t="s">
        <v>95</v>
      </c>
      <c r="F50"/>
      <c r="G50"/>
      <c r="H50" t="s">
        <v>48</v>
      </c>
      <c r="I50"/>
      <c r="J50" t="s">
        <v>77</v>
      </c>
      <c r="K50" t="s">
        <v>51</v>
      </c>
      <c r="L50"/>
      <c r="M50"/>
      <c r="N50"/>
      <c r="O50" t="s">
        <v>58</v>
      </c>
      <c r="P50"/>
      <c r="Q50" t="s">
        <v>84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</row>
    <row r="51" spans="1:100">
      <c r="A51"/>
      <c r="B51"/>
      <c r="C51" t="s">
        <v>37</v>
      </c>
      <c r="D51" t="s">
        <v>39</v>
      </c>
      <c r="E51"/>
      <c r="F51"/>
      <c r="G51" t="s">
        <v>41</v>
      </c>
      <c r="H51"/>
      <c r="I51"/>
      <c r="J51"/>
      <c r="K51"/>
      <c r="L51"/>
      <c r="M51" t="s">
        <v>100</v>
      </c>
      <c r="N51"/>
      <c r="O51" t="s">
        <v>103</v>
      </c>
      <c r="P51"/>
      <c r="Q51" t="s">
        <v>104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</row>
    <row r="52" spans="1:100">
      <c r="A52"/>
      <c r="B52" t="s">
        <v>93</v>
      </c>
      <c r="C52" t="s">
        <v>38</v>
      </c>
      <c r="D52"/>
      <c r="E52" t="s">
        <v>73</v>
      </c>
      <c r="F52"/>
      <c r="G52"/>
      <c r="H52" t="s">
        <v>48</v>
      </c>
      <c r="I52"/>
      <c r="J52"/>
      <c r="K52"/>
      <c r="L52"/>
      <c r="M52" t="s">
        <v>100</v>
      </c>
      <c r="N52"/>
      <c r="O52" t="s">
        <v>60</v>
      </c>
      <c r="P52"/>
      <c r="Q52" t="s">
        <v>63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</row>
    <row r="53" spans="1:100">
      <c r="A53"/>
      <c r="B53" t="s">
        <v>37</v>
      </c>
      <c r="C53"/>
      <c r="D53" t="s">
        <v>40</v>
      </c>
      <c r="E53"/>
      <c r="F53"/>
      <c r="G53"/>
      <c r="H53"/>
      <c r="I53" t="s">
        <v>74</v>
      </c>
      <c r="J53"/>
      <c r="K53" t="s">
        <v>100</v>
      </c>
      <c r="L53"/>
      <c r="M53"/>
      <c r="N53" t="s">
        <v>57</v>
      </c>
      <c r="O53"/>
      <c r="P53" t="s">
        <v>59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</row>
    <row r="54" spans="1:100">
      <c r="A54"/>
      <c r="B54"/>
      <c r="C54"/>
      <c r="D54" t="s">
        <v>39</v>
      </c>
      <c r="E54"/>
      <c r="F54" t="s">
        <v>71</v>
      </c>
      <c r="G54"/>
      <c r="H54" t="s">
        <v>99</v>
      </c>
      <c r="I54"/>
      <c r="J54"/>
      <c r="K54"/>
      <c r="L54"/>
      <c r="M54"/>
      <c r="N54" t="s">
        <v>57</v>
      </c>
      <c r="O54"/>
      <c r="P54"/>
      <c r="Q54" t="s">
        <v>84</v>
      </c>
      <c r="R54"/>
      <c r="S54" t="s">
        <v>92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</row>
    <row r="55" spans="1:100">
      <c r="A55"/>
      <c r="B55" t="s">
        <v>39</v>
      </c>
      <c r="C55" t="s">
        <v>88</v>
      </c>
      <c r="D55"/>
      <c r="E55"/>
      <c r="F55"/>
      <c r="G55" t="s">
        <v>43</v>
      </c>
      <c r="H55"/>
      <c r="I55" t="s">
        <v>99</v>
      </c>
      <c r="J55"/>
      <c r="K55"/>
      <c r="L55" t="s">
        <v>52</v>
      </c>
      <c r="M55"/>
      <c r="N55"/>
      <c r="O55"/>
      <c r="P55" t="s">
        <v>103</v>
      </c>
      <c r="Q55" t="s">
        <v>104</v>
      </c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</row>
    <row r="56" spans="1:10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</row>
    <row r="57" spans="1:10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</row>
    <row r="58" spans="1:10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</row>
    <row r="59" spans="1:10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</row>
    <row r="60" spans="1:10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</row>
    <row r="61" spans="1:10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</row>
    <row r="62" spans="1:10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</row>
    <row r="63" spans="1:10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</row>
    <row r="64" spans="1:10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</row>
    <row r="65" spans="1:10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</row>
    <row r="68" spans="1:10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</row>
    <row r="69" spans="1:10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</row>
    <row r="70" spans="1:10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</row>
    <row r="71" spans="1:10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</row>
    <row r="73" spans="1:10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</row>
    <row r="74" spans="1:10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</row>
    <row r="75" spans="1:10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</row>
    <row r="76" spans="1:100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</row>
    <row r="77" spans="1:100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</row>
    <row r="78" spans="1:100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</row>
    <row r="79" spans="1:100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</row>
    <row r="80" spans="1:10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</row>
    <row r="81" spans="1:100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</row>
    <row r="82" spans="1:100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</row>
    <row r="83" spans="1:100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</row>
    <row r="84" spans="1:100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</row>
    <row r="85" spans="1:100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</row>
    <row r="86" spans="1:100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</row>
    <row r="87" spans="1:100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</row>
    <row r="88" spans="1:100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</row>
    <row r="89" spans="1:100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</row>
    <row r="90" spans="1:10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</row>
    <row r="91" spans="1:100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</row>
    <row r="92" spans="1:100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</row>
    <row r="93" spans="1:100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</row>
    <row r="94" spans="1:100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</row>
    <row r="95" spans="1:10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</row>
    <row r="96" spans="1:100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</row>
    <row r="97" spans="1:100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</row>
    <row r="98" spans="1:100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</row>
    <row r="99" spans="1:100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</row>
    <row r="100" spans="1: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</row>
    <row r="101" spans="1:100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</row>
    <row r="102" spans="1:100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</row>
    <row r="103" spans="1:100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</row>
    <row r="104" spans="1:100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</row>
    <row r="105" spans="1:100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</row>
    <row r="106" spans="1:100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</row>
    <row r="107" spans="1:100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</row>
    <row r="108" spans="1:100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</row>
    <row r="109" spans="1:100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</row>
    <row r="110" spans="1:10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</row>
    <row r="111" spans="1:100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</row>
    <row r="112" spans="1:100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</row>
    <row r="113" spans="1:100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</row>
    <row r="114" spans="1:100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</row>
    <row r="115" spans="1:100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</row>
    <row r="116" spans="1:100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</row>
    <row r="117" spans="1:100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</row>
    <row r="118" spans="1:100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</row>
    <row r="119" spans="1:100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</row>
    <row r="120" spans="1:10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</row>
    <row r="121" spans="1:100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</row>
    <row r="122" spans="1:100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</row>
    <row r="123" spans="1:100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</row>
    <row r="124" spans="1:100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</row>
    <row r="125" spans="1:100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</row>
    <row r="126" spans="1:100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</row>
    <row r="127" spans="1:100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</row>
    <row r="128" spans="1:100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</row>
    <row r="129" spans="1:100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</row>
    <row r="130" spans="1:10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</row>
    <row r="131" spans="1:100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</row>
    <row r="132" spans="1:100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</row>
    <row r="133" spans="1:100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</row>
    <row r="134" spans="1:100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</row>
    <row r="135" spans="1:100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</row>
    <row r="136" spans="1:100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</row>
    <row r="137" spans="1:100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</row>
    <row r="138" spans="1:100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</row>
    <row r="139" spans="1:100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</row>
    <row r="140" spans="1:10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</row>
    <row r="141" spans="1:100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</row>
    <row r="142" spans="1:100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</row>
    <row r="143" spans="1:100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</row>
    <row r="144" spans="1:100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</row>
    <row r="145" spans="1:100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</row>
    <row r="146" spans="1:100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</row>
    <row r="147" spans="1:100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</row>
    <row r="148" spans="1:100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</row>
    <row r="149" spans="1:100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</row>
    <row r="150" spans="1:10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</row>
    <row r="151" spans="1:100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</row>
    <row r="152" spans="1:100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</row>
    <row r="153" spans="1:100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</row>
    <row r="154" spans="1:100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</row>
    <row r="155" spans="1:100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</row>
    <row r="156" spans="1:100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</row>
    <row r="157" spans="1:100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</row>
    <row r="158" spans="1:100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</row>
    <row r="159" spans="1:100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</row>
    <row r="160" spans="1:10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</row>
    <row r="161" spans="1:100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</row>
    <row r="162" spans="1:100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</row>
    <row r="163" spans="1:100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</row>
    <row r="164" spans="1:100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</row>
    <row r="165" spans="1:100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</row>
    <row r="166" spans="1:100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</row>
    <row r="167" spans="1:100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</row>
    <row r="168" spans="1:100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</row>
    <row r="169" spans="1:100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</row>
    <row r="170" spans="1:100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</row>
    <row r="171" spans="1:100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</row>
    <row r="172" spans="1:100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</row>
    <row r="173" spans="1:100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</row>
    <row r="174" spans="1:100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</row>
    <row r="175" spans="1:100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</row>
    <row r="176" spans="1:100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</row>
    <row r="177" spans="1:100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</row>
    <row r="178" spans="1:100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</row>
    <row r="179" spans="1:100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</row>
    <row r="180" spans="1:10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</row>
    <row r="181" spans="1:100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</row>
    <row r="182" spans="1:100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</row>
    <row r="183" spans="1:100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</row>
    <row r="184" spans="1:100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</row>
    <row r="185" spans="1:100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</row>
    <row r="186" spans="1:100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</row>
    <row r="187" spans="1:100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</row>
    <row r="188" spans="1:100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</row>
    <row r="189" spans="1:100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</row>
    <row r="190" spans="1:100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</row>
    <row r="191" spans="1:100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</row>
    <row r="192" spans="1:100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</row>
    <row r="193" spans="1:100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</row>
    <row r="194" spans="1:100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</row>
    <row r="195" spans="1:100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</row>
    <row r="196" spans="1:100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</row>
    <row r="197" spans="1:100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</row>
    <row r="198" spans="1:100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</row>
    <row r="199" spans="1:100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</row>
    <row r="200" spans="1:1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</row>
    <row r="201" spans="1:100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</row>
    <row r="202" spans="1:100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</row>
    <row r="203" spans="1:100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</row>
    <row r="204" spans="1:100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</row>
    <row r="205" spans="1:100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</row>
    <row r="206" spans="1:100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</row>
    <row r="207" spans="1:100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</row>
    <row r="208" spans="1:100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</row>
    <row r="209" spans="1:100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</row>
    <row r="210" spans="1:10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</row>
    <row r="211" spans="1:100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</row>
    <row r="212" spans="1:100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</row>
    <row r="213" spans="1:100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</row>
    <row r="214" spans="1:100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</row>
    <row r="215" spans="1:100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</row>
    <row r="216" spans="1:100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</row>
    <row r="217" spans="1:100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</row>
    <row r="218" spans="1:100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</row>
    <row r="219" spans="1:100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</row>
    <row r="220" spans="1:10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</row>
    <row r="221" spans="1:100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</row>
    <row r="222" spans="1:100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</row>
    <row r="223" spans="1:100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</row>
    <row r="224" spans="1:100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</row>
    <row r="225" spans="1:100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</row>
    <row r="226" spans="1:100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</row>
    <row r="227" spans="1:100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</row>
    <row r="228" spans="1:100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</row>
    <row r="229" spans="1:100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</row>
    <row r="230" spans="1:100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</row>
    <row r="231" spans="1:100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</row>
    <row r="232" spans="1:100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</row>
    <row r="233" spans="1:100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</row>
    <row r="234" spans="1:100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</row>
    <row r="235" spans="1:100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</row>
    <row r="236" spans="1:100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</row>
    <row r="237" spans="1:100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</row>
    <row r="238" spans="1:100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</row>
    <row r="239" spans="1:100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</row>
    <row r="240" spans="1:100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</row>
    <row r="241" spans="1:100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</row>
    <row r="242" spans="1:100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</row>
    <row r="243" spans="1:100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</row>
    <row r="244" spans="1:100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</row>
    <row r="245" spans="1:100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</row>
    <row r="246" spans="1:100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</row>
    <row r="247" spans="1:100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</row>
    <row r="248" spans="1:100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</row>
    <row r="249" spans="1:100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</row>
    <row r="250" spans="1:100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</row>
    <row r="251" spans="1:100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</row>
    <row r="252" spans="1:100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</row>
    <row r="253" spans="1:100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</row>
    <row r="254" spans="1:100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</row>
    <row r="255" spans="1:100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</row>
    <row r="256" spans="1:100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</row>
    <row r="257" spans="1:100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</row>
    <row r="258" spans="1:100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</row>
    <row r="259" spans="1:100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</row>
    <row r="260" spans="1:100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</row>
    <row r="261" spans="1:100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</row>
    <row r="262" spans="1:100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</row>
    <row r="263" spans="1:100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</row>
    <row r="264" spans="1:100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</row>
    <row r="265" spans="1:100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</row>
    <row r="266" spans="1:100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</row>
    <row r="267" spans="1:100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</row>
    <row r="268" spans="1:100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</row>
    <row r="269" spans="1:100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</row>
    <row r="270" spans="1:100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</row>
    <row r="271" spans="1:100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</row>
    <row r="272" spans="1:100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</row>
    <row r="273" spans="1:100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</row>
    <row r="274" spans="1:100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</row>
    <row r="275" spans="1:100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</row>
    <row r="276" spans="1:100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</row>
    <row r="277" spans="1:100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</row>
    <row r="278" spans="1:100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</row>
    <row r="279" spans="1:100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</row>
    <row r="280" spans="1:100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</row>
    <row r="281" spans="1:100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</row>
    <row r="282" spans="1:100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</row>
    <row r="283" spans="1:100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</row>
    <row r="284" spans="1:100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</row>
    <row r="285" spans="1:100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</row>
    <row r="286" spans="1:100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</row>
    <row r="287" spans="1:100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</row>
    <row r="288" spans="1:100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</row>
    <row r="289" spans="1:100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</row>
    <row r="290" spans="1:100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</row>
    <row r="291" spans="1:100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</row>
    <row r="292" spans="1:100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</row>
    <row r="293" spans="1:100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</row>
    <row r="294" spans="1:100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</row>
    <row r="295" spans="1:100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</row>
    <row r="296" spans="1:100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</row>
    <row r="297" spans="1:100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</row>
    <row r="298" spans="1:100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</row>
    <row r="299" spans="1:100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</row>
    <row r="300" spans="1:100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Unidade01Manha</vt:lpstr>
      <vt:lpstr>Unidade01Tarde</vt:lpstr>
      <vt:lpstr>sheets1</vt:lpstr>
      <vt:lpstr>sheets2</vt:lpstr>
      <vt:lpstr>instancia-real-TO_DO</vt:lpstr>
      <vt:lpstr>instancia-real-TO_DO_2</vt:lpstr>
      <vt:lpstr>Unidade02Manha</vt:lpstr>
      <vt:lpstr>Unidade02Tarde</vt:lpstr>
      <vt:lpstr>solution</vt:lpstr>
      <vt:lpstr>Unidade01Manha!_FiltrarBancodeDados</vt:lpstr>
      <vt:lpstr>Unidade01Tarde!_FiltrarBancodeDados</vt:lpstr>
      <vt:lpstr>Unidade02Manha!_FiltrarBancodeDados</vt:lpstr>
      <vt:lpstr>Unidade02Tarde!_FiltrarBancodeDados</vt:lpstr>
      <vt:lpstr>'instancia-real-TO_DO'!Capacidade</vt:lpstr>
      <vt:lpstr>'instancia-real-TO_DO_2'!Capacidade</vt:lpstr>
      <vt:lpstr>sheets2!Capacidade</vt:lpstr>
      <vt:lpstr>Capacidade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</dc:creator>
  <dc:description/>
  <cp:lastModifiedBy>Rafael Ramos</cp:lastModifiedBy>
  <cp:revision>230</cp:revision>
  <dcterms:created xsi:type="dcterms:W3CDTF">2022-06-20T14:46:29Z</dcterms:created>
  <dcterms:modified xsi:type="dcterms:W3CDTF">2025-07-23T10:08:39Z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SIP_Label_defa4170-0d19-0005-0004-bc88714345d2_ActionId">
    <vt:lpwstr>f645d534-d96c-42b8-b7a5-ba6e21101b38</vt:lpwstr>
  </property>
  <property fmtid="{D5CDD505-2E9C-101B-9397-08002B2CF9AE}" pid="7" name="MSIP_Label_defa4170-0d19-0005-0004-bc88714345d2_ContentBits">
    <vt:lpwstr>0</vt:lpwstr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Method">
    <vt:lpwstr>Standard</vt:lpwstr>
  </property>
  <property fmtid="{D5CDD505-2E9C-101B-9397-08002B2CF9AE}" pid="10" name="MSIP_Label_defa4170-0d19-0005-0004-bc88714345d2_Name">
    <vt:lpwstr>defa4170-0d19-0005-0004-bc88714345d2</vt:lpwstr>
  </property>
  <property fmtid="{D5CDD505-2E9C-101B-9397-08002B2CF9AE}" pid="11" name="MSIP_Label_defa4170-0d19-0005-0004-bc88714345d2_SetDate">
    <vt:lpwstr>2024-08-19T18:06:00Z</vt:lpwstr>
  </property>
  <property fmtid="{D5CDD505-2E9C-101B-9397-08002B2CF9AE}" pid="12" name="MSIP_Label_defa4170-0d19-0005-0004-bc88714345d2_SiteId">
    <vt:lpwstr>0cd591ff-0db3-4a60-9197-7c8640afe68c</vt:lpwstr>
  </property>
  <property fmtid="{D5CDD505-2E9C-101B-9397-08002B2CF9AE}" pid="13" name="ScaleCrop">
    <vt:bool>false</vt:bool>
  </property>
  <property fmtid="{D5CDD505-2E9C-101B-9397-08002B2CF9AE}" pid="14" name="ShareDoc">
    <vt:bool>false</vt:bool>
  </property>
</Properties>
</file>